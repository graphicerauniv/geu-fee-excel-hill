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GEHU-Fee\BTL\v2\"/>
    </mc:Choice>
  </mc:AlternateContent>
  <xr:revisionPtr revIDLastSave="0" documentId="13_ncr:1_{014FE437-3614-4315-B2AB-CF9B97B2FCA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btech-cse" sheetId="2" r:id="rId1"/>
    <sheet name="btech-civil" sheetId="24" r:id="rId2"/>
    <sheet name="btech-ece" sheetId="25" r:id="rId3"/>
    <sheet name="btech-me" sheetId="23" r:id="rId4"/>
    <sheet name="mba" sheetId="7" r:id="rId5"/>
    <sheet name="bsc-nursing" sheetId="10" r:id="rId6"/>
    <sheet name="bba" sheetId="11" r:id="rId7"/>
    <sheet name="bba-hons" sheetId="19" r:id="rId8"/>
    <sheet name="bba-acca" sheetId="26" r:id="rId9"/>
    <sheet name="bcom-acca" sheetId="27" r:id="rId10"/>
    <sheet name="bcom" sheetId="18" r:id="rId11"/>
    <sheet name="bcom-hons" sheetId="12" r:id="rId12"/>
    <sheet name="mtech-me" sheetId="17" r:id="rId13"/>
    <sheet name="diploma-cse" sheetId="30" r:id="rId14"/>
    <sheet name="diploma-me" sheetId="35" r:id="rId15"/>
    <sheet name="diploma-civil" sheetId="36" r:id="rId16"/>
    <sheet name="bpharma" sheetId="13" r:id="rId17"/>
    <sheet name="bca-ai-ds" sheetId="20" r:id="rId18"/>
    <sheet name="bsc-it" sheetId="33" r:id="rId19"/>
    <sheet name="bca" sheetId="32" r:id="rId20"/>
    <sheet name="mca" sheetId="9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6" l="1"/>
  <c r="G19" i="36"/>
  <c r="F19" i="36"/>
  <c r="E19" i="36"/>
  <c r="D19" i="36"/>
  <c r="C19" i="36"/>
  <c r="B19" i="36"/>
  <c r="H19" i="36" s="1"/>
  <c r="C11" i="36"/>
  <c r="C12" i="36" s="1"/>
  <c r="C10" i="36"/>
  <c r="C9" i="36"/>
  <c r="C7" i="36"/>
  <c r="C6" i="36"/>
  <c r="H20" i="35"/>
  <c r="G19" i="35"/>
  <c r="F19" i="35"/>
  <c r="E19" i="35"/>
  <c r="D19" i="35"/>
  <c r="C19" i="35"/>
  <c r="B19" i="35"/>
  <c r="H19" i="35" s="1"/>
  <c r="C11" i="35"/>
  <c r="C13" i="35" s="1"/>
  <c r="C10" i="35"/>
  <c r="C9" i="35"/>
  <c r="C7" i="35"/>
  <c r="C6" i="35"/>
  <c r="I43" i="33"/>
  <c r="H42" i="33"/>
  <c r="G42" i="33"/>
  <c r="F42" i="33"/>
  <c r="E42" i="33"/>
  <c r="C42" i="33"/>
  <c r="B42" i="33"/>
  <c r="I27" i="33"/>
  <c r="I31" i="33" s="1"/>
  <c r="H27" i="33"/>
  <c r="H31" i="33" s="1"/>
  <c r="G27" i="33"/>
  <c r="G31" i="33" s="1"/>
  <c r="F27" i="33"/>
  <c r="F31" i="33" s="1"/>
  <c r="E27" i="33"/>
  <c r="E31" i="33" s="1"/>
  <c r="D27" i="33"/>
  <c r="D31" i="33" s="1"/>
  <c r="C27" i="33"/>
  <c r="C31" i="33" s="1"/>
  <c r="C26" i="33"/>
  <c r="C22" i="33"/>
  <c r="D22" i="33" s="1"/>
  <c r="C15" i="33"/>
  <c r="D15" i="33" s="1"/>
  <c r="E15" i="33" s="1"/>
  <c r="F15" i="33" s="1"/>
  <c r="C12" i="33"/>
  <c r="D12" i="33" s="1"/>
  <c r="I11" i="33"/>
  <c r="I16" i="33" s="1"/>
  <c r="H11" i="33"/>
  <c r="H16" i="33" s="1"/>
  <c r="G11" i="33"/>
  <c r="G16" i="33" s="1"/>
  <c r="F11" i="33"/>
  <c r="F16" i="33" s="1"/>
  <c r="E11" i="33"/>
  <c r="E16" i="33" s="1"/>
  <c r="D11" i="33"/>
  <c r="D16" i="33" s="1"/>
  <c r="C11" i="33"/>
  <c r="C16" i="33" s="1"/>
  <c r="D10" i="33"/>
  <c r="C9" i="33"/>
  <c r="C8" i="33"/>
  <c r="D7" i="33"/>
  <c r="E7" i="33" s="1"/>
  <c r="F7" i="33" s="1"/>
  <c r="G7" i="33" s="1"/>
  <c r="H7" i="33" s="1"/>
  <c r="I7" i="33" s="1"/>
  <c r="D5" i="33"/>
  <c r="E5" i="33" s="1"/>
  <c r="I43" i="32"/>
  <c r="H42" i="32"/>
  <c r="G42" i="32"/>
  <c r="F42" i="32"/>
  <c r="E42" i="32"/>
  <c r="C42" i="32"/>
  <c r="B42" i="32"/>
  <c r="I27" i="32"/>
  <c r="I31" i="32" s="1"/>
  <c r="H27" i="32"/>
  <c r="H31" i="32" s="1"/>
  <c r="G27" i="32"/>
  <c r="G31" i="32" s="1"/>
  <c r="F27" i="32"/>
  <c r="F31" i="32" s="1"/>
  <c r="E27" i="32"/>
  <c r="E31" i="32" s="1"/>
  <c r="D27" i="32"/>
  <c r="D31" i="32" s="1"/>
  <c r="C27" i="32"/>
  <c r="C31" i="32" s="1"/>
  <c r="C26" i="32"/>
  <c r="D26" i="32" s="1"/>
  <c r="C22" i="32"/>
  <c r="C24" i="32" s="1"/>
  <c r="C15" i="32"/>
  <c r="D15" i="32" s="1"/>
  <c r="C12" i="32"/>
  <c r="D12" i="32" s="1"/>
  <c r="E12" i="32" s="1"/>
  <c r="F12" i="32" s="1"/>
  <c r="G12" i="32" s="1"/>
  <c r="H12" i="32" s="1"/>
  <c r="I12" i="32" s="1"/>
  <c r="I11" i="32"/>
  <c r="I16" i="32" s="1"/>
  <c r="H11" i="32"/>
  <c r="H16" i="32" s="1"/>
  <c r="G11" i="32"/>
  <c r="G16" i="32" s="1"/>
  <c r="F11" i="32"/>
  <c r="F16" i="32" s="1"/>
  <c r="E11" i="32"/>
  <c r="E16" i="32" s="1"/>
  <c r="D11" i="32"/>
  <c r="D16" i="32" s="1"/>
  <c r="C11" i="32"/>
  <c r="D10" i="32"/>
  <c r="C9" i="32"/>
  <c r="C8" i="32"/>
  <c r="D7" i="32"/>
  <c r="E7" i="32" s="1"/>
  <c r="F7" i="32" s="1"/>
  <c r="G7" i="32" s="1"/>
  <c r="H7" i="32" s="1"/>
  <c r="I7" i="32" s="1"/>
  <c r="D5" i="32"/>
  <c r="H20" i="30"/>
  <c r="G19" i="30"/>
  <c r="F19" i="30"/>
  <c r="E19" i="30"/>
  <c r="D19" i="30"/>
  <c r="C19" i="30"/>
  <c r="B19" i="30"/>
  <c r="C11" i="30"/>
  <c r="C13" i="30" s="1"/>
  <c r="C10" i="30"/>
  <c r="C9" i="30"/>
  <c r="C7" i="30"/>
  <c r="C6" i="30"/>
  <c r="I43" i="27"/>
  <c r="H42" i="27"/>
  <c r="G42" i="27"/>
  <c r="F42" i="27"/>
  <c r="E42" i="27"/>
  <c r="C42" i="27"/>
  <c r="B42" i="27"/>
  <c r="I27" i="27"/>
  <c r="I31" i="27" s="1"/>
  <c r="H27" i="27"/>
  <c r="H31" i="27" s="1"/>
  <c r="G27" i="27"/>
  <c r="G31" i="27" s="1"/>
  <c r="F27" i="27"/>
  <c r="F31" i="27" s="1"/>
  <c r="E27" i="27"/>
  <c r="E31" i="27" s="1"/>
  <c r="D27" i="27"/>
  <c r="D31" i="27" s="1"/>
  <c r="C27" i="27"/>
  <c r="C31" i="27" s="1"/>
  <c r="C26" i="27"/>
  <c r="C29" i="27" s="1"/>
  <c r="C22" i="27"/>
  <c r="C24" i="27" s="1"/>
  <c r="C15" i="27"/>
  <c r="D15" i="27" s="1"/>
  <c r="C12" i="27"/>
  <c r="C17" i="27" s="1"/>
  <c r="D17" i="27" s="1"/>
  <c r="E17" i="27" s="1"/>
  <c r="F17" i="27" s="1"/>
  <c r="G17" i="27" s="1"/>
  <c r="H17" i="27" s="1"/>
  <c r="I17" i="27" s="1"/>
  <c r="I11" i="27"/>
  <c r="I16" i="27" s="1"/>
  <c r="H11" i="27"/>
  <c r="H16" i="27" s="1"/>
  <c r="G11" i="27"/>
  <c r="G16" i="27" s="1"/>
  <c r="F11" i="27"/>
  <c r="F16" i="27" s="1"/>
  <c r="E11" i="27"/>
  <c r="E16" i="27" s="1"/>
  <c r="D11" i="27"/>
  <c r="D16" i="27" s="1"/>
  <c r="C11" i="27"/>
  <c r="D10" i="27"/>
  <c r="E10" i="27" s="1"/>
  <c r="C9" i="27"/>
  <c r="C8" i="27"/>
  <c r="D7" i="27"/>
  <c r="E7" i="27" s="1"/>
  <c r="F7" i="27" s="1"/>
  <c r="G7" i="27" s="1"/>
  <c r="H7" i="27" s="1"/>
  <c r="I7" i="27" s="1"/>
  <c r="D5" i="27"/>
  <c r="E5" i="27" s="1"/>
  <c r="I43" i="26"/>
  <c r="H42" i="26"/>
  <c r="G42" i="26"/>
  <c r="F42" i="26"/>
  <c r="E42" i="26"/>
  <c r="C42" i="26"/>
  <c r="B42" i="26"/>
  <c r="I27" i="26"/>
  <c r="I31" i="26" s="1"/>
  <c r="H27" i="26"/>
  <c r="H31" i="26" s="1"/>
  <c r="G27" i="26"/>
  <c r="G31" i="26" s="1"/>
  <c r="F27" i="26"/>
  <c r="F31" i="26" s="1"/>
  <c r="E27" i="26"/>
  <c r="E31" i="26" s="1"/>
  <c r="D27" i="26"/>
  <c r="D31" i="26" s="1"/>
  <c r="C27" i="26"/>
  <c r="C31" i="26" s="1"/>
  <c r="C26" i="26"/>
  <c r="C30" i="26" s="1"/>
  <c r="D30" i="26" s="1"/>
  <c r="C22" i="26"/>
  <c r="D22" i="26" s="1"/>
  <c r="C15" i="26"/>
  <c r="C12" i="26"/>
  <c r="C17" i="26" s="1"/>
  <c r="D17" i="26" s="1"/>
  <c r="E17" i="26" s="1"/>
  <c r="F17" i="26" s="1"/>
  <c r="G17" i="26" s="1"/>
  <c r="H17" i="26" s="1"/>
  <c r="I17" i="26" s="1"/>
  <c r="I11" i="26"/>
  <c r="I16" i="26" s="1"/>
  <c r="H11" i="26"/>
  <c r="H16" i="26" s="1"/>
  <c r="G11" i="26"/>
  <c r="G16" i="26" s="1"/>
  <c r="F11" i="26"/>
  <c r="F16" i="26" s="1"/>
  <c r="E11" i="26"/>
  <c r="E16" i="26" s="1"/>
  <c r="D11" i="26"/>
  <c r="D16" i="26" s="1"/>
  <c r="C11" i="26"/>
  <c r="C16" i="26" s="1"/>
  <c r="D10" i="26"/>
  <c r="E10" i="26" s="1"/>
  <c r="C9" i="26"/>
  <c r="C8" i="26"/>
  <c r="D7" i="26"/>
  <c r="E7" i="26" s="1"/>
  <c r="F7" i="26" s="1"/>
  <c r="G7" i="26" s="1"/>
  <c r="H7" i="26" s="1"/>
  <c r="I7" i="26" s="1"/>
  <c r="D5" i="26"/>
  <c r="E5" i="26" s="1"/>
  <c r="H52" i="25"/>
  <c r="G51" i="25"/>
  <c r="F51" i="25"/>
  <c r="E51" i="25"/>
  <c r="C51" i="25"/>
  <c r="B51" i="25"/>
  <c r="I32" i="25"/>
  <c r="I36" i="25" s="1"/>
  <c r="I40" i="25" s="1"/>
  <c r="H32" i="25"/>
  <c r="H36" i="25" s="1"/>
  <c r="H40" i="25" s="1"/>
  <c r="G32" i="25"/>
  <c r="G36" i="25" s="1"/>
  <c r="G40" i="25" s="1"/>
  <c r="F32" i="25"/>
  <c r="F36" i="25" s="1"/>
  <c r="F40" i="25" s="1"/>
  <c r="E32" i="25"/>
  <c r="E36" i="25" s="1"/>
  <c r="E40" i="25" s="1"/>
  <c r="D32" i="25"/>
  <c r="D36" i="25" s="1"/>
  <c r="D40" i="25" s="1"/>
  <c r="C32" i="25"/>
  <c r="C36" i="25" s="1"/>
  <c r="C40" i="25" s="1"/>
  <c r="C31" i="25"/>
  <c r="D31" i="25" s="1"/>
  <c r="C27" i="25"/>
  <c r="C30" i="25" s="1"/>
  <c r="C15" i="25"/>
  <c r="C20" i="25" s="1"/>
  <c r="C12" i="25"/>
  <c r="C17" i="25" s="1"/>
  <c r="D17" i="25" s="1"/>
  <c r="E17" i="25" s="1"/>
  <c r="F17" i="25" s="1"/>
  <c r="G17" i="25" s="1"/>
  <c r="H17" i="25" s="1"/>
  <c r="I17" i="25" s="1"/>
  <c r="I11" i="25"/>
  <c r="I16" i="25" s="1"/>
  <c r="I21" i="25" s="1"/>
  <c r="H11" i="25"/>
  <c r="H16" i="25" s="1"/>
  <c r="H21" i="25" s="1"/>
  <c r="G11" i="25"/>
  <c r="G16" i="25" s="1"/>
  <c r="G21" i="25" s="1"/>
  <c r="F11" i="25"/>
  <c r="F16" i="25" s="1"/>
  <c r="F21" i="25" s="1"/>
  <c r="E11" i="25"/>
  <c r="E16" i="25" s="1"/>
  <c r="E21" i="25" s="1"/>
  <c r="D11" i="25"/>
  <c r="D16" i="25" s="1"/>
  <c r="D21" i="25" s="1"/>
  <c r="C11" i="25"/>
  <c r="D10" i="25"/>
  <c r="C9" i="25"/>
  <c r="C8" i="25"/>
  <c r="D7" i="25"/>
  <c r="E7" i="25" s="1"/>
  <c r="F7" i="25" s="1"/>
  <c r="G7" i="25" s="1"/>
  <c r="H7" i="25" s="1"/>
  <c r="I7" i="25" s="1"/>
  <c r="D5" i="25"/>
  <c r="H52" i="24"/>
  <c r="G51" i="24"/>
  <c r="F51" i="24"/>
  <c r="E51" i="24"/>
  <c r="C51" i="24"/>
  <c r="B51" i="24"/>
  <c r="I32" i="24"/>
  <c r="I36" i="24" s="1"/>
  <c r="I40" i="24" s="1"/>
  <c r="H32" i="24"/>
  <c r="H36" i="24" s="1"/>
  <c r="H40" i="24" s="1"/>
  <c r="G32" i="24"/>
  <c r="G36" i="24" s="1"/>
  <c r="G40" i="24" s="1"/>
  <c r="F32" i="24"/>
  <c r="F36" i="24" s="1"/>
  <c r="F40" i="24" s="1"/>
  <c r="E32" i="24"/>
  <c r="E36" i="24" s="1"/>
  <c r="E40" i="24" s="1"/>
  <c r="D32" i="24"/>
  <c r="D36" i="24" s="1"/>
  <c r="D40" i="24" s="1"/>
  <c r="C32" i="24"/>
  <c r="C36" i="24" s="1"/>
  <c r="C40" i="24" s="1"/>
  <c r="C31" i="24"/>
  <c r="D31" i="24" s="1"/>
  <c r="C27" i="24"/>
  <c r="C29" i="24" s="1"/>
  <c r="C15" i="24"/>
  <c r="C20" i="24" s="1"/>
  <c r="C12" i="24"/>
  <c r="C17" i="24" s="1"/>
  <c r="C22" i="24" s="1"/>
  <c r="D22" i="24" s="1"/>
  <c r="E22" i="24" s="1"/>
  <c r="F22" i="24" s="1"/>
  <c r="G22" i="24" s="1"/>
  <c r="H22" i="24" s="1"/>
  <c r="I22" i="24" s="1"/>
  <c r="I11" i="24"/>
  <c r="I16" i="24" s="1"/>
  <c r="I21" i="24" s="1"/>
  <c r="H11" i="24"/>
  <c r="H16" i="24" s="1"/>
  <c r="H21" i="24" s="1"/>
  <c r="G11" i="24"/>
  <c r="G16" i="24" s="1"/>
  <c r="G21" i="24" s="1"/>
  <c r="F11" i="24"/>
  <c r="F16" i="24" s="1"/>
  <c r="F21" i="24" s="1"/>
  <c r="E11" i="24"/>
  <c r="E16" i="24" s="1"/>
  <c r="E21" i="24" s="1"/>
  <c r="D11" i="24"/>
  <c r="D16" i="24" s="1"/>
  <c r="D21" i="24" s="1"/>
  <c r="C11" i="24"/>
  <c r="D10" i="24"/>
  <c r="C9" i="24"/>
  <c r="C8" i="24"/>
  <c r="D7" i="24"/>
  <c r="E7" i="24" s="1"/>
  <c r="F7" i="24" s="1"/>
  <c r="G7" i="24" s="1"/>
  <c r="H7" i="24" s="1"/>
  <c r="I7" i="24" s="1"/>
  <c r="D5" i="24"/>
  <c r="H52" i="23"/>
  <c r="G51" i="23"/>
  <c r="F51" i="23"/>
  <c r="E51" i="23"/>
  <c r="C51" i="23"/>
  <c r="B51" i="23"/>
  <c r="I32" i="23"/>
  <c r="I36" i="23" s="1"/>
  <c r="I40" i="23" s="1"/>
  <c r="H32" i="23"/>
  <c r="H36" i="23" s="1"/>
  <c r="H40" i="23" s="1"/>
  <c r="G32" i="23"/>
  <c r="G36" i="23" s="1"/>
  <c r="G40" i="23" s="1"/>
  <c r="F32" i="23"/>
  <c r="F36" i="23" s="1"/>
  <c r="F40" i="23" s="1"/>
  <c r="E32" i="23"/>
  <c r="E36" i="23" s="1"/>
  <c r="E40" i="23" s="1"/>
  <c r="D32" i="23"/>
  <c r="D36" i="23" s="1"/>
  <c r="D40" i="23" s="1"/>
  <c r="C32" i="23"/>
  <c r="C36" i="23" s="1"/>
  <c r="C40" i="23" s="1"/>
  <c r="C31" i="23"/>
  <c r="D31" i="23" s="1"/>
  <c r="C27" i="23"/>
  <c r="C30" i="23" s="1"/>
  <c r="C15" i="23"/>
  <c r="C12" i="23"/>
  <c r="D12" i="23" s="1"/>
  <c r="E12" i="23" s="1"/>
  <c r="F12" i="23" s="1"/>
  <c r="G12" i="23" s="1"/>
  <c r="H12" i="23" s="1"/>
  <c r="I12" i="23" s="1"/>
  <c r="I11" i="23"/>
  <c r="I16" i="23" s="1"/>
  <c r="I21" i="23" s="1"/>
  <c r="H11" i="23"/>
  <c r="H16" i="23" s="1"/>
  <c r="H21" i="23" s="1"/>
  <c r="G11" i="23"/>
  <c r="G16" i="23" s="1"/>
  <c r="G21" i="23" s="1"/>
  <c r="F11" i="23"/>
  <c r="F16" i="23" s="1"/>
  <c r="F21" i="23" s="1"/>
  <c r="E11" i="23"/>
  <c r="E16" i="23" s="1"/>
  <c r="E21" i="23" s="1"/>
  <c r="D11" i="23"/>
  <c r="D16" i="23" s="1"/>
  <c r="D21" i="23" s="1"/>
  <c r="C11" i="23"/>
  <c r="C16" i="23" s="1"/>
  <c r="C21" i="23" s="1"/>
  <c r="D10" i="23"/>
  <c r="C9" i="23"/>
  <c r="C8" i="23"/>
  <c r="D7" i="23"/>
  <c r="E7" i="23" s="1"/>
  <c r="F7" i="23" s="1"/>
  <c r="G7" i="23" s="1"/>
  <c r="H7" i="23" s="1"/>
  <c r="I7" i="23" s="1"/>
  <c r="D5" i="23"/>
  <c r="E5" i="23" s="1"/>
  <c r="C13" i="36" l="1"/>
  <c r="C14" i="36"/>
  <c r="C29" i="33"/>
  <c r="I42" i="33"/>
  <c r="D9" i="33"/>
  <c r="C12" i="35"/>
  <c r="C14" i="35" s="1"/>
  <c r="H19" i="30"/>
  <c r="C13" i="27"/>
  <c r="D9" i="26"/>
  <c r="D8" i="26"/>
  <c r="D26" i="26"/>
  <c r="D29" i="26" s="1"/>
  <c r="D8" i="25"/>
  <c r="C33" i="25"/>
  <c r="C34" i="25"/>
  <c r="C35" i="25"/>
  <c r="C38" i="25" s="1"/>
  <c r="H51" i="25"/>
  <c r="D8" i="24"/>
  <c r="H51" i="24"/>
  <c r="D27" i="24"/>
  <c r="D30" i="24" s="1"/>
  <c r="D12" i="25"/>
  <c r="E12" i="25" s="1"/>
  <c r="F12" i="25" s="1"/>
  <c r="G12" i="25" s="1"/>
  <c r="H12" i="25" s="1"/>
  <c r="I12" i="25" s="1"/>
  <c r="C30" i="32"/>
  <c r="D30" i="32" s="1"/>
  <c r="C30" i="33"/>
  <c r="D30" i="33" s="1"/>
  <c r="C30" i="24"/>
  <c r="C14" i="33"/>
  <c r="C30" i="27"/>
  <c r="C33" i="27" s="1"/>
  <c r="D27" i="25"/>
  <c r="E27" i="25" s="1"/>
  <c r="E29" i="25" s="1"/>
  <c r="C29" i="25"/>
  <c r="D12" i="26"/>
  <c r="D13" i="26" s="1"/>
  <c r="C33" i="23"/>
  <c r="C13" i="24"/>
  <c r="C13" i="26"/>
  <c r="C34" i="23"/>
  <c r="C14" i="26"/>
  <c r="I42" i="27"/>
  <c r="C35" i="23"/>
  <c r="C39" i="23" s="1"/>
  <c r="I42" i="26"/>
  <c r="C14" i="27"/>
  <c r="C34" i="24"/>
  <c r="C35" i="24"/>
  <c r="C38" i="24" s="1"/>
  <c r="C16" i="27"/>
  <c r="C19" i="27" s="1"/>
  <c r="C25" i="33"/>
  <c r="C13" i="25"/>
  <c r="D12" i="24"/>
  <c r="E12" i="24" s="1"/>
  <c r="F12" i="24" s="1"/>
  <c r="G12" i="24" s="1"/>
  <c r="H12" i="24" s="1"/>
  <c r="I12" i="24" s="1"/>
  <c r="C24" i="26"/>
  <c r="C25" i="27"/>
  <c r="C25" i="26"/>
  <c r="C29" i="26"/>
  <c r="D14" i="33"/>
  <c r="E12" i="33"/>
  <c r="F12" i="33" s="1"/>
  <c r="G12" i="33" s="1"/>
  <c r="H12" i="33" s="1"/>
  <c r="I12" i="33" s="1"/>
  <c r="E8" i="33"/>
  <c r="E9" i="33"/>
  <c r="F5" i="33"/>
  <c r="G15" i="33"/>
  <c r="D13" i="33"/>
  <c r="D25" i="33"/>
  <c r="E22" i="33"/>
  <c r="D24" i="33"/>
  <c r="C28" i="33"/>
  <c r="C17" i="33"/>
  <c r="C18" i="33" s="1"/>
  <c r="C20" i="33" s="1"/>
  <c r="E10" i="33"/>
  <c r="D26" i="33"/>
  <c r="D8" i="33"/>
  <c r="C24" i="33"/>
  <c r="C13" i="33"/>
  <c r="C28" i="32"/>
  <c r="D8" i="32"/>
  <c r="D22" i="32"/>
  <c r="D24" i="32" s="1"/>
  <c r="D9" i="32"/>
  <c r="I42" i="32"/>
  <c r="C25" i="32"/>
  <c r="C13" i="32"/>
  <c r="D28" i="32"/>
  <c r="E26" i="32"/>
  <c r="D29" i="32"/>
  <c r="E15" i="32"/>
  <c r="D13" i="32"/>
  <c r="C17" i="32"/>
  <c r="D17" i="32" s="1"/>
  <c r="E17" i="32" s="1"/>
  <c r="F17" i="32" s="1"/>
  <c r="G17" i="32" s="1"/>
  <c r="H17" i="32" s="1"/>
  <c r="I17" i="32" s="1"/>
  <c r="C29" i="32"/>
  <c r="E5" i="32"/>
  <c r="C16" i="32"/>
  <c r="C14" i="32"/>
  <c r="D14" i="32"/>
  <c r="E10" i="32"/>
  <c r="C12" i="30"/>
  <c r="C14" i="30" s="1"/>
  <c r="E15" i="27"/>
  <c r="D19" i="27"/>
  <c r="D18" i="27"/>
  <c r="F5" i="27"/>
  <c r="E8" i="27"/>
  <c r="E9" i="27"/>
  <c r="F10" i="27"/>
  <c r="D9" i="27"/>
  <c r="D22" i="27"/>
  <c r="D12" i="27"/>
  <c r="C28" i="27"/>
  <c r="D26" i="27"/>
  <c r="D8" i="27"/>
  <c r="C18" i="26"/>
  <c r="F10" i="26"/>
  <c r="E8" i="26"/>
  <c r="F5" i="26"/>
  <c r="E9" i="26"/>
  <c r="D24" i="26"/>
  <c r="E22" i="26"/>
  <c r="D25" i="26"/>
  <c r="D33" i="26"/>
  <c r="E30" i="26"/>
  <c r="D32" i="26"/>
  <c r="C33" i="26"/>
  <c r="C32" i="26"/>
  <c r="C19" i="26"/>
  <c r="C28" i="26"/>
  <c r="D15" i="26"/>
  <c r="E26" i="26"/>
  <c r="D33" i="25"/>
  <c r="D34" i="25"/>
  <c r="E31" i="25"/>
  <c r="D20" i="25"/>
  <c r="E5" i="25"/>
  <c r="C16" i="25"/>
  <c r="D9" i="25"/>
  <c r="C14" i="25"/>
  <c r="D15" i="25"/>
  <c r="C22" i="25"/>
  <c r="D22" i="25" s="1"/>
  <c r="E22" i="25" s="1"/>
  <c r="F22" i="25" s="1"/>
  <c r="G22" i="25" s="1"/>
  <c r="H22" i="25" s="1"/>
  <c r="I22" i="25" s="1"/>
  <c r="E10" i="25"/>
  <c r="D20" i="24"/>
  <c r="D33" i="24"/>
  <c r="E31" i="24"/>
  <c r="D34" i="24"/>
  <c r="D9" i="24"/>
  <c r="C16" i="24"/>
  <c r="C14" i="24"/>
  <c r="E5" i="24"/>
  <c r="D17" i="24"/>
  <c r="E17" i="24" s="1"/>
  <c r="F17" i="24" s="1"/>
  <c r="G17" i="24" s="1"/>
  <c r="H17" i="24" s="1"/>
  <c r="I17" i="24" s="1"/>
  <c r="C33" i="24"/>
  <c r="D15" i="24"/>
  <c r="E10" i="24"/>
  <c r="H51" i="23"/>
  <c r="C13" i="23"/>
  <c r="C14" i="23"/>
  <c r="C17" i="23"/>
  <c r="C19" i="23" s="1"/>
  <c r="D9" i="23"/>
  <c r="D27" i="23"/>
  <c r="D29" i="23" s="1"/>
  <c r="D8" i="23"/>
  <c r="E9" i="23"/>
  <c r="E8" i="23"/>
  <c r="F5" i="23"/>
  <c r="D34" i="23"/>
  <c r="E31" i="23"/>
  <c r="D33" i="23"/>
  <c r="D14" i="23"/>
  <c r="D13" i="23"/>
  <c r="E10" i="23"/>
  <c r="D15" i="23"/>
  <c r="C20" i="23"/>
  <c r="C29" i="23"/>
  <c r="D25" i="32" l="1"/>
  <c r="C18" i="23"/>
  <c r="D35" i="25"/>
  <c r="C37" i="25"/>
  <c r="C39" i="25"/>
  <c r="D14" i="25"/>
  <c r="C33" i="32"/>
  <c r="E22" i="32"/>
  <c r="F22" i="32" s="1"/>
  <c r="C32" i="32"/>
  <c r="C34" i="32" s="1"/>
  <c r="C32" i="33"/>
  <c r="C34" i="33" s="1"/>
  <c r="C33" i="33"/>
  <c r="C32" i="27"/>
  <c r="C34" i="27" s="1"/>
  <c r="C18" i="27"/>
  <c r="C20" i="27" s="1"/>
  <c r="D28" i="26"/>
  <c r="D34" i="26" s="1"/>
  <c r="D14" i="26"/>
  <c r="C20" i="26"/>
  <c r="C34" i="26"/>
  <c r="D13" i="25"/>
  <c r="E30" i="25"/>
  <c r="F27" i="25"/>
  <c r="F30" i="25" s="1"/>
  <c r="D29" i="25"/>
  <c r="D35" i="24"/>
  <c r="D37" i="24" s="1"/>
  <c r="C39" i="24"/>
  <c r="C42" i="24" s="1"/>
  <c r="D30" i="27"/>
  <c r="E30" i="27" s="1"/>
  <c r="C37" i="23"/>
  <c r="D30" i="25"/>
  <c r="C37" i="24"/>
  <c r="D35" i="23"/>
  <c r="D37" i="23" s="1"/>
  <c r="D13" i="24"/>
  <c r="C38" i="23"/>
  <c r="E12" i="26"/>
  <c r="D14" i="24"/>
  <c r="E27" i="24"/>
  <c r="D29" i="24"/>
  <c r="E24" i="33"/>
  <c r="E25" i="33"/>
  <c r="F22" i="33"/>
  <c r="D29" i="33"/>
  <c r="E26" i="33"/>
  <c r="D28" i="33"/>
  <c r="H15" i="33"/>
  <c r="F8" i="33"/>
  <c r="F9" i="33"/>
  <c r="G5" i="33"/>
  <c r="E14" i="33"/>
  <c r="E13" i="33"/>
  <c r="F10" i="33"/>
  <c r="D33" i="33"/>
  <c r="D32" i="33"/>
  <c r="E30" i="33"/>
  <c r="C19" i="33"/>
  <c r="D17" i="33"/>
  <c r="C18" i="32"/>
  <c r="C20" i="32" s="1"/>
  <c r="E8" i="32"/>
  <c r="E9" i="32"/>
  <c r="F5" i="32"/>
  <c r="D33" i="32"/>
  <c r="E30" i="32"/>
  <c r="D32" i="32"/>
  <c r="D34" i="32" s="1"/>
  <c r="E24" i="32"/>
  <c r="D18" i="32"/>
  <c r="D20" i="32" s="1"/>
  <c r="F10" i="32"/>
  <c r="E14" i="32"/>
  <c r="E13" i="32"/>
  <c r="D19" i="32"/>
  <c r="F26" i="32"/>
  <c r="E28" i="32"/>
  <c r="E29" i="32"/>
  <c r="F15" i="32"/>
  <c r="E19" i="32"/>
  <c r="E18" i="32"/>
  <c r="C19" i="32"/>
  <c r="E12" i="27"/>
  <c r="D14" i="27"/>
  <c r="D24" i="27"/>
  <c r="E22" i="27"/>
  <c r="D25" i="27"/>
  <c r="G10" i="27"/>
  <c r="F8" i="27"/>
  <c r="F9" i="27"/>
  <c r="G5" i="27"/>
  <c r="D29" i="27"/>
  <c r="E26" i="27"/>
  <c r="D28" i="27"/>
  <c r="D13" i="27"/>
  <c r="D20" i="27" s="1"/>
  <c r="D33" i="27"/>
  <c r="D32" i="27"/>
  <c r="F15" i="27"/>
  <c r="E19" i="27"/>
  <c r="E18" i="27"/>
  <c r="E33" i="26"/>
  <c r="F30" i="26"/>
  <c r="E32" i="26"/>
  <c r="E24" i="26"/>
  <c r="F22" i="26"/>
  <c r="E25" i="26"/>
  <c r="F26" i="26"/>
  <c r="E28" i="26"/>
  <c r="E29" i="26"/>
  <c r="E15" i="26"/>
  <c r="D19" i="26"/>
  <c r="D18" i="26"/>
  <c r="D20" i="26" s="1"/>
  <c r="F8" i="26"/>
  <c r="F9" i="26"/>
  <c r="G5" i="26"/>
  <c r="G10" i="26"/>
  <c r="C21" i="25"/>
  <c r="C18" i="25"/>
  <c r="E8" i="25"/>
  <c r="E9" i="25"/>
  <c r="F5" i="25"/>
  <c r="E35" i="25"/>
  <c r="D37" i="25"/>
  <c r="D38" i="25"/>
  <c r="D24" i="25"/>
  <c r="D23" i="25"/>
  <c r="E20" i="25"/>
  <c r="F10" i="25"/>
  <c r="E14" i="25"/>
  <c r="E13" i="25"/>
  <c r="E15" i="25"/>
  <c r="D19" i="25"/>
  <c r="D18" i="25"/>
  <c r="E33" i="25"/>
  <c r="E34" i="25"/>
  <c r="F31" i="25"/>
  <c r="C19" i="25"/>
  <c r="C42" i="25"/>
  <c r="D39" i="25"/>
  <c r="C41" i="25"/>
  <c r="C43" i="25" s="1"/>
  <c r="C19" i="24"/>
  <c r="C18" i="24"/>
  <c r="C21" i="24"/>
  <c r="E33" i="24"/>
  <c r="F31" i="24"/>
  <c r="E34" i="24"/>
  <c r="F10" i="24"/>
  <c r="E13" i="24"/>
  <c r="E14" i="24"/>
  <c r="E15" i="24"/>
  <c r="D18" i="24"/>
  <c r="D19" i="24"/>
  <c r="E8" i="24"/>
  <c r="F5" i="24"/>
  <c r="E9" i="24"/>
  <c r="D24" i="24"/>
  <c r="E20" i="24"/>
  <c r="D23" i="24"/>
  <c r="D17" i="23"/>
  <c r="E17" i="23" s="1"/>
  <c r="F17" i="23" s="1"/>
  <c r="G17" i="23" s="1"/>
  <c r="H17" i="23" s="1"/>
  <c r="I17" i="23" s="1"/>
  <c r="C22" i="23"/>
  <c r="D22" i="23" s="1"/>
  <c r="E22" i="23" s="1"/>
  <c r="F22" i="23" s="1"/>
  <c r="G22" i="23" s="1"/>
  <c r="H22" i="23" s="1"/>
  <c r="I22" i="23" s="1"/>
  <c r="E27" i="23"/>
  <c r="E30" i="23" s="1"/>
  <c r="D30" i="23"/>
  <c r="E14" i="23"/>
  <c r="E13" i="23"/>
  <c r="F10" i="23"/>
  <c r="E34" i="23"/>
  <c r="E33" i="23"/>
  <c r="F31" i="23"/>
  <c r="G5" i="23"/>
  <c r="F9" i="23"/>
  <c r="F8" i="23"/>
  <c r="E15" i="23"/>
  <c r="D20" i="23"/>
  <c r="D38" i="23"/>
  <c r="E35" i="23"/>
  <c r="D39" i="23"/>
  <c r="C41" i="23"/>
  <c r="C42" i="23"/>
  <c r="E25" i="32" l="1"/>
  <c r="F29" i="25"/>
  <c r="G27" i="25"/>
  <c r="G29" i="25" s="1"/>
  <c r="D34" i="33"/>
  <c r="C24" i="23"/>
  <c r="E29" i="23"/>
  <c r="F27" i="23"/>
  <c r="C43" i="23"/>
  <c r="E35" i="24"/>
  <c r="E38" i="24" s="1"/>
  <c r="D38" i="24"/>
  <c r="C41" i="24"/>
  <c r="C43" i="24" s="1"/>
  <c r="D39" i="24"/>
  <c r="F27" i="24"/>
  <c r="E29" i="24"/>
  <c r="E30" i="24"/>
  <c r="F12" i="26"/>
  <c r="E13" i="26"/>
  <c r="E14" i="26"/>
  <c r="C23" i="23"/>
  <c r="C25" i="23" s="1"/>
  <c r="D18" i="23"/>
  <c r="D19" i="23"/>
  <c r="F13" i="33"/>
  <c r="G10" i="33"/>
  <c r="F14" i="33"/>
  <c r="G8" i="33"/>
  <c r="H5" i="33"/>
  <c r="G9" i="33"/>
  <c r="I15" i="33"/>
  <c r="F26" i="33"/>
  <c r="E28" i="33"/>
  <c r="E29" i="33"/>
  <c r="E32" i="33"/>
  <c r="E33" i="33"/>
  <c r="F30" i="33"/>
  <c r="F24" i="33"/>
  <c r="F25" i="33"/>
  <c r="G22" i="33"/>
  <c r="E17" i="33"/>
  <c r="D18" i="33"/>
  <c r="D20" i="33" s="1"/>
  <c r="D19" i="33"/>
  <c r="G10" i="32"/>
  <c r="F14" i="32"/>
  <c r="F13" i="32"/>
  <c r="G26" i="32"/>
  <c r="F28" i="32"/>
  <c r="F29" i="32"/>
  <c r="F25" i="32"/>
  <c r="F24" i="32"/>
  <c r="G22" i="32"/>
  <c r="E33" i="32"/>
  <c r="E32" i="32"/>
  <c r="E34" i="32" s="1"/>
  <c r="F30" i="32"/>
  <c r="F8" i="32"/>
  <c r="F9" i="32"/>
  <c r="G5" i="32"/>
  <c r="F18" i="32"/>
  <c r="G15" i="32"/>
  <c r="F19" i="32"/>
  <c r="E20" i="32"/>
  <c r="F26" i="27"/>
  <c r="E28" i="27"/>
  <c r="E29" i="27"/>
  <c r="G8" i="27"/>
  <c r="G9" i="27"/>
  <c r="H5" i="27"/>
  <c r="H10" i="27"/>
  <c r="G15" i="27"/>
  <c r="F19" i="27"/>
  <c r="F18" i="27"/>
  <c r="E24" i="27"/>
  <c r="F22" i="27"/>
  <c r="E25" i="27"/>
  <c r="E33" i="27"/>
  <c r="F30" i="27"/>
  <c r="E32" i="27"/>
  <c r="D34" i="27"/>
  <c r="F12" i="27"/>
  <c r="E13" i="27"/>
  <c r="E20" i="27" s="1"/>
  <c r="E14" i="27"/>
  <c r="G8" i="26"/>
  <c r="G9" i="26"/>
  <c r="H5" i="26"/>
  <c r="F15" i="26"/>
  <c r="E19" i="26"/>
  <c r="E18" i="26"/>
  <c r="G26" i="26"/>
  <c r="F28" i="26"/>
  <c r="F29" i="26"/>
  <c r="F24" i="26"/>
  <c r="G22" i="26"/>
  <c r="F25" i="26"/>
  <c r="E34" i="26"/>
  <c r="H10" i="26"/>
  <c r="F33" i="26"/>
  <c r="G30" i="26"/>
  <c r="F32" i="26"/>
  <c r="F15" i="25"/>
  <c r="E19" i="25"/>
  <c r="E18" i="25"/>
  <c r="G10" i="25"/>
  <c r="F14" i="25"/>
  <c r="F13" i="25"/>
  <c r="G30" i="25"/>
  <c r="E24" i="25"/>
  <c r="E23" i="25"/>
  <c r="F20" i="25"/>
  <c r="D42" i="25"/>
  <c r="E39" i="25"/>
  <c r="D41" i="25"/>
  <c r="D43" i="25" s="1"/>
  <c r="E37" i="25"/>
  <c r="F35" i="25"/>
  <c r="E38" i="25"/>
  <c r="F8" i="25"/>
  <c r="G5" i="25"/>
  <c r="F9" i="25"/>
  <c r="F33" i="25"/>
  <c r="F34" i="25"/>
  <c r="G31" i="25"/>
  <c r="D25" i="25"/>
  <c r="C24" i="25"/>
  <c r="C23" i="25"/>
  <c r="C25" i="25" s="1"/>
  <c r="F13" i="24"/>
  <c r="G10" i="24"/>
  <c r="F14" i="24"/>
  <c r="E24" i="24"/>
  <c r="E23" i="24"/>
  <c r="F20" i="24"/>
  <c r="E37" i="24"/>
  <c r="F8" i="24"/>
  <c r="G5" i="24"/>
  <c r="F9" i="24"/>
  <c r="F33" i="24"/>
  <c r="F34" i="24"/>
  <c r="G31" i="24"/>
  <c r="C24" i="24"/>
  <c r="C23" i="24"/>
  <c r="C25" i="24" s="1"/>
  <c r="D25" i="24"/>
  <c r="F15" i="24"/>
  <c r="E19" i="24"/>
  <c r="E18" i="24"/>
  <c r="D42" i="24"/>
  <c r="E39" i="24"/>
  <c r="D41" i="24"/>
  <c r="D43" i="24" s="1"/>
  <c r="F14" i="23"/>
  <c r="G10" i="23"/>
  <c r="F13" i="23"/>
  <c r="E18" i="23"/>
  <c r="F15" i="23"/>
  <c r="E19" i="23"/>
  <c r="G9" i="23"/>
  <c r="H5" i="23"/>
  <c r="G8" i="23"/>
  <c r="E39" i="23"/>
  <c r="D41" i="23"/>
  <c r="D43" i="23" s="1"/>
  <c r="D42" i="23"/>
  <c r="F34" i="23"/>
  <c r="F33" i="23"/>
  <c r="G31" i="23"/>
  <c r="F29" i="23"/>
  <c r="G27" i="23"/>
  <c r="F30" i="23"/>
  <c r="F35" i="23"/>
  <c r="E37" i="23"/>
  <c r="E38" i="23"/>
  <c r="D23" i="23"/>
  <c r="D24" i="23"/>
  <c r="E20" i="23"/>
  <c r="E20" i="26" l="1"/>
  <c r="E25" i="25"/>
  <c r="E34" i="27"/>
  <c r="F34" i="26"/>
  <c r="D25" i="23"/>
  <c r="F35" i="24"/>
  <c r="E34" i="33"/>
  <c r="E25" i="24"/>
  <c r="G12" i="26"/>
  <c r="F13" i="26"/>
  <c r="F14" i="26"/>
  <c r="F30" i="24"/>
  <c r="F29" i="24"/>
  <c r="G27" i="24"/>
  <c r="G26" i="33"/>
  <c r="F28" i="33"/>
  <c r="F29" i="33"/>
  <c r="H8" i="33"/>
  <c r="I5" i="33"/>
  <c r="H9" i="33"/>
  <c r="G24" i="33"/>
  <c r="G25" i="33"/>
  <c r="H22" i="33"/>
  <c r="F17" i="33"/>
  <c r="E19" i="33"/>
  <c r="E18" i="33"/>
  <c r="E20" i="33" s="1"/>
  <c r="H10" i="33"/>
  <c r="G14" i="33"/>
  <c r="G13" i="33"/>
  <c r="F33" i="33"/>
  <c r="G30" i="33"/>
  <c r="F32" i="33"/>
  <c r="F20" i="32"/>
  <c r="G9" i="32"/>
  <c r="H5" i="32"/>
  <c r="G8" i="32"/>
  <c r="H22" i="32"/>
  <c r="G25" i="32"/>
  <c r="G24" i="32"/>
  <c r="G28" i="32"/>
  <c r="G29" i="32"/>
  <c r="H26" i="32"/>
  <c r="F33" i="32"/>
  <c r="F32" i="32"/>
  <c r="F34" i="32" s="1"/>
  <c r="G30" i="32"/>
  <c r="G19" i="32"/>
  <c r="G18" i="32"/>
  <c r="H15" i="32"/>
  <c r="H10" i="32"/>
  <c r="G14" i="32"/>
  <c r="G13" i="32"/>
  <c r="F24" i="27"/>
  <c r="G22" i="27"/>
  <c r="F25" i="27"/>
  <c r="G19" i="27"/>
  <c r="G18" i="27"/>
  <c r="H15" i="27"/>
  <c r="I10" i="27"/>
  <c r="H8" i="27"/>
  <c r="H22" i="27"/>
  <c r="H9" i="27"/>
  <c r="I5" i="27"/>
  <c r="G12" i="27"/>
  <c r="F13" i="27"/>
  <c r="F20" i="27" s="1"/>
  <c r="F14" i="27"/>
  <c r="F33" i="27"/>
  <c r="G30" i="27"/>
  <c r="F32" i="27"/>
  <c r="G26" i="27"/>
  <c r="F28" i="27"/>
  <c r="F29" i="27"/>
  <c r="I10" i="26"/>
  <c r="G24" i="26"/>
  <c r="H22" i="26"/>
  <c r="G25" i="26"/>
  <c r="H26" i="26"/>
  <c r="G28" i="26"/>
  <c r="G29" i="26"/>
  <c r="G15" i="26"/>
  <c r="F19" i="26"/>
  <c r="F18" i="26"/>
  <c r="H8" i="26"/>
  <c r="I5" i="26"/>
  <c r="H9" i="26"/>
  <c r="G33" i="26"/>
  <c r="H30" i="26"/>
  <c r="G32" i="26"/>
  <c r="F24" i="25"/>
  <c r="F23" i="25"/>
  <c r="G20" i="25"/>
  <c r="E42" i="25"/>
  <c r="F39" i="25"/>
  <c r="E41" i="25"/>
  <c r="E43" i="25" s="1"/>
  <c r="H31" i="25"/>
  <c r="G34" i="25"/>
  <c r="G33" i="25"/>
  <c r="G9" i="25"/>
  <c r="G8" i="25"/>
  <c r="H5" i="25"/>
  <c r="H10" i="25"/>
  <c r="G14" i="25"/>
  <c r="G13" i="25"/>
  <c r="G35" i="25"/>
  <c r="F37" i="25"/>
  <c r="F38" i="25"/>
  <c r="F19" i="25"/>
  <c r="F18" i="25"/>
  <c r="F25" i="25" s="1"/>
  <c r="G15" i="25"/>
  <c r="G8" i="24"/>
  <c r="G9" i="24"/>
  <c r="H5" i="24"/>
  <c r="E42" i="24"/>
  <c r="F39" i="24"/>
  <c r="E41" i="24"/>
  <c r="E43" i="24"/>
  <c r="F37" i="24"/>
  <c r="F38" i="24"/>
  <c r="G35" i="24"/>
  <c r="F19" i="24"/>
  <c r="G15" i="24"/>
  <c r="F18" i="24"/>
  <c r="F24" i="24"/>
  <c r="G20" i="24"/>
  <c r="F23" i="24"/>
  <c r="H10" i="24"/>
  <c r="G13" i="24"/>
  <c r="G14" i="24"/>
  <c r="G33" i="24"/>
  <c r="G34" i="24"/>
  <c r="H31" i="24"/>
  <c r="G35" i="23"/>
  <c r="F37" i="23"/>
  <c r="F38" i="23"/>
  <c r="G29" i="23"/>
  <c r="G30" i="23"/>
  <c r="G14" i="23"/>
  <c r="H10" i="23"/>
  <c r="G13" i="23"/>
  <c r="H31" i="23"/>
  <c r="G34" i="23"/>
  <c r="G33" i="23"/>
  <c r="F39" i="23"/>
  <c r="E41" i="23"/>
  <c r="E43" i="23" s="1"/>
  <c r="E42" i="23"/>
  <c r="E23" i="23"/>
  <c r="E25" i="23" s="1"/>
  <c r="E24" i="23"/>
  <c r="F20" i="23"/>
  <c r="H9" i="23"/>
  <c r="I5" i="23"/>
  <c r="H27" i="23"/>
  <c r="H8" i="23"/>
  <c r="F18" i="23"/>
  <c r="G15" i="23"/>
  <c r="F19" i="23"/>
  <c r="F34" i="33" l="1"/>
  <c r="F20" i="26"/>
  <c r="F25" i="24"/>
  <c r="G30" i="24"/>
  <c r="G29" i="24"/>
  <c r="H12" i="26"/>
  <c r="G13" i="26"/>
  <c r="G14" i="26"/>
  <c r="I10" i="33"/>
  <c r="H14" i="33"/>
  <c r="H13" i="33"/>
  <c r="G17" i="33"/>
  <c r="F18" i="33"/>
  <c r="F20" i="33" s="1"/>
  <c r="F19" i="33"/>
  <c r="I22" i="33"/>
  <c r="H25" i="33"/>
  <c r="H24" i="33"/>
  <c r="I9" i="33"/>
  <c r="I8" i="33"/>
  <c r="G33" i="33"/>
  <c r="H30" i="33"/>
  <c r="G32" i="33"/>
  <c r="H26" i="33"/>
  <c r="G28" i="33"/>
  <c r="G34" i="33" s="1"/>
  <c r="G29" i="33"/>
  <c r="H19" i="32"/>
  <c r="H18" i="32"/>
  <c r="I15" i="32"/>
  <c r="H28" i="32"/>
  <c r="H29" i="32"/>
  <c r="I26" i="32"/>
  <c r="G32" i="32"/>
  <c r="H30" i="32"/>
  <c r="G33" i="32"/>
  <c r="G34" i="32"/>
  <c r="G20" i="32"/>
  <c r="I22" i="32"/>
  <c r="H25" i="32"/>
  <c r="H24" i="32"/>
  <c r="H9" i="32"/>
  <c r="I5" i="32"/>
  <c r="H8" i="32"/>
  <c r="I10" i="32"/>
  <c r="H13" i="32"/>
  <c r="H14" i="32"/>
  <c r="H12" i="27"/>
  <c r="G13" i="27"/>
  <c r="G20" i="27" s="1"/>
  <c r="G14" i="27"/>
  <c r="I9" i="27"/>
  <c r="I8" i="27"/>
  <c r="I22" i="27"/>
  <c r="H25" i="27"/>
  <c r="H24" i="27"/>
  <c r="I15" i="27"/>
  <c r="H19" i="27"/>
  <c r="H18" i="27"/>
  <c r="H26" i="27"/>
  <c r="G28" i="27"/>
  <c r="G29" i="27"/>
  <c r="G33" i="27"/>
  <c r="G32" i="27"/>
  <c r="G24" i="27"/>
  <c r="G25" i="27"/>
  <c r="F34" i="27"/>
  <c r="H15" i="26"/>
  <c r="G19" i="26"/>
  <c r="G18" i="26"/>
  <c r="I8" i="26"/>
  <c r="I9" i="26"/>
  <c r="I22" i="26"/>
  <c r="H25" i="26"/>
  <c r="H24" i="26"/>
  <c r="G34" i="26"/>
  <c r="I26" i="26"/>
  <c r="H28" i="26"/>
  <c r="H29" i="26"/>
  <c r="H33" i="26"/>
  <c r="I30" i="26"/>
  <c r="H32" i="26"/>
  <c r="G19" i="25"/>
  <c r="G18" i="25"/>
  <c r="G25" i="25" s="1"/>
  <c r="H35" i="25"/>
  <c r="H34" i="25"/>
  <c r="I31" i="25"/>
  <c r="H33" i="25"/>
  <c r="H27" i="25"/>
  <c r="H9" i="25"/>
  <c r="I5" i="25"/>
  <c r="H8" i="25"/>
  <c r="G24" i="25"/>
  <c r="G23" i="25"/>
  <c r="F42" i="25"/>
  <c r="G39" i="25"/>
  <c r="F41" i="25"/>
  <c r="F43" i="25" s="1"/>
  <c r="G37" i="25"/>
  <c r="G38" i="25"/>
  <c r="I10" i="25"/>
  <c r="H14" i="25"/>
  <c r="H13" i="25"/>
  <c r="H15" i="25"/>
  <c r="G19" i="24"/>
  <c r="G18" i="24"/>
  <c r="G25" i="24" s="1"/>
  <c r="G37" i="24"/>
  <c r="G38" i="24"/>
  <c r="H35" i="24"/>
  <c r="H34" i="24"/>
  <c r="I31" i="24"/>
  <c r="H33" i="24"/>
  <c r="H27" i="24"/>
  <c r="H9" i="24"/>
  <c r="I5" i="24"/>
  <c r="H8" i="24"/>
  <c r="I10" i="24"/>
  <c r="H14" i="24"/>
  <c r="H15" i="24"/>
  <c r="H13" i="24"/>
  <c r="F42" i="24"/>
  <c r="G39" i="24"/>
  <c r="F41" i="24"/>
  <c r="F43" i="24" s="1"/>
  <c r="G24" i="24"/>
  <c r="G23" i="24"/>
  <c r="G20" i="23"/>
  <c r="F23" i="23"/>
  <c r="F25" i="23" s="1"/>
  <c r="F24" i="23"/>
  <c r="F41" i="23"/>
  <c r="F43" i="23" s="1"/>
  <c r="F42" i="23"/>
  <c r="G39" i="23"/>
  <c r="H34" i="23"/>
  <c r="I31" i="23"/>
  <c r="H35" i="23"/>
  <c r="H33" i="23"/>
  <c r="G18" i="23"/>
  <c r="G19" i="23"/>
  <c r="H13" i="23"/>
  <c r="I10" i="23"/>
  <c r="H14" i="23"/>
  <c r="H15" i="23"/>
  <c r="H29" i="23"/>
  <c r="I27" i="23"/>
  <c r="H30" i="23"/>
  <c r="I9" i="23"/>
  <c r="I8" i="23"/>
  <c r="G38" i="23"/>
  <c r="G37" i="23"/>
  <c r="I12" i="26" l="1"/>
  <c r="H14" i="26"/>
  <c r="H13" i="26"/>
  <c r="G20" i="26"/>
  <c r="H33" i="33"/>
  <c r="I30" i="33"/>
  <c r="H32" i="33"/>
  <c r="I25" i="33"/>
  <c r="I24" i="33"/>
  <c r="H17" i="33"/>
  <c r="G18" i="33"/>
  <c r="G20" i="33" s="1"/>
  <c r="G19" i="33"/>
  <c r="I26" i="33"/>
  <c r="H28" i="33"/>
  <c r="H34" i="33" s="1"/>
  <c r="H29" i="33"/>
  <c r="I13" i="33"/>
  <c r="I14" i="33"/>
  <c r="H20" i="32"/>
  <c r="I9" i="32"/>
  <c r="I8" i="32"/>
  <c r="I25" i="32"/>
  <c r="I24" i="32"/>
  <c r="I30" i="32"/>
  <c r="H32" i="32"/>
  <c r="H33" i="32"/>
  <c r="I28" i="32"/>
  <c r="I29" i="32"/>
  <c r="I19" i="32"/>
  <c r="I18" i="32"/>
  <c r="H34" i="32"/>
  <c r="I13" i="32"/>
  <c r="I14" i="32"/>
  <c r="I26" i="27"/>
  <c r="H28" i="27"/>
  <c r="H30" i="27"/>
  <c r="H29" i="27"/>
  <c r="I19" i="27"/>
  <c r="I18" i="27"/>
  <c r="I25" i="27"/>
  <c r="I24" i="27"/>
  <c r="G34" i="27"/>
  <c r="I12" i="27"/>
  <c r="H14" i="27"/>
  <c r="H13" i="27"/>
  <c r="H20" i="27" s="1"/>
  <c r="I32" i="26"/>
  <c r="I33" i="26"/>
  <c r="I28" i="26"/>
  <c r="I29" i="26"/>
  <c r="H34" i="26"/>
  <c r="I25" i="26"/>
  <c r="I24" i="26"/>
  <c r="H19" i="26"/>
  <c r="H18" i="26"/>
  <c r="H20" i="26" s="1"/>
  <c r="I15" i="26"/>
  <c r="G42" i="25"/>
  <c r="G41" i="25"/>
  <c r="G43" i="25" s="1"/>
  <c r="I9" i="25"/>
  <c r="I8" i="25"/>
  <c r="I27" i="25"/>
  <c r="H30" i="25"/>
  <c r="H29" i="25"/>
  <c r="H19" i="25"/>
  <c r="H18" i="25"/>
  <c r="H20" i="25"/>
  <c r="I15" i="25"/>
  <c r="I34" i="25"/>
  <c r="I33" i="25"/>
  <c r="H39" i="25"/>
  <c r="H37" i="25"/>
  <c r="H38" i="25"/>
  <c r="I35" i="25"/>
  <c r="I14" i="25"/>
  <c r="I13" i="25"/>
  <c r="H19" i="24"/>
  <c r="H18" i="24"/>
  <c r="I15" i="24"/>
  <c r="H20" i="24"/>
  <c r="I14" i="24"/>
  <c r="I13" i="24"/>
  <c r="I8" i="24"/>
  <c r="I9" i="24"/>
  <c r="I27" i="24"/>
  <c r="H30" i="24"/>
  <c r="H29" i="24"/>
  <c r="I34" i="24"/>
  <c r="I33" i="24"/>
  <c r="I35" i="24"/>
  <c r="H37" i="24"/>
  <c r="H39" i="24"/>
  <c r="H38" i="24"/>
  <c r="G42" i="24"/>
  <c r="G41" i="24"/>
  <c r="G43" i="24"/>
  <c r="I13" i="23"/>
  <c r="I14" i="23"/>
  <c r="H38" i="23"/>
  <c r="I35" i="23"/>
  <c r="H37" i="23"/>
  <c r="H39" i="23"/>
  <c r="I34" i="23"/>
  <c r="I33" i="23"/>
  <c r="G41" i="23"/>
  <c r="G43" i="23" s="1"/>
  <c r="G42" i="23"/>
  <c r="H18" i="23"/>
  <c r="H20" i="23"/>
  <c r="H19" i="23"/>
  <c r="I15" i="23"/>
  <c r="G23" i="23"/>
  <c r="G25" i="23" s="1"/>
  <c r="G24" i="23"/>
  <c r="I29" i="23"/>
  <c r="I30" i="23"/>
  <c r="I34" i="26" l="1"/>
  <c r="I13" i="26"/>
  <c r="I14" i="26"/>
  <c r="I28" i="33"/>
  <c r="I34" i="33" s="1"/>
  <c r="I29" i="33"/>
  <c r="I17" i="33"/>
  <c r="H18" i="33"/>
  <c r="H20" i="33" s="1"/>
  <c r="H19" i="33"/>
  <c r="I32" i="33"/>
  <c r="I33" i="33"/>
  <c r="I20" i="32"/>
  <c r="I33" i="32"/>
  <c r="I32" i="32"/>
  <c r="I34" i="32" s="1"/>
  <c r="I14" i="27"/>
  <c r="I13" i="27"/>
  <c r="I20" i="27" s="1"/>
  <c r="H33" i="27"/>
  <c r="I30" i="27"/>
  <c r="H32" i="27"/>
  <c r="H34" i="27" s="1"/>
  <c r="I28" i="27"/>
  <c r="I29" i="27"/>
  <c r="I19" i="26"/>
  <c r="I18" i="26"/>
  <c r="I39" i="25"/>
  <c r="H41" i="25"/>
  <c r="H43" i="25" s="1"/>
  <c r="H42" i="25"/>
  <c r="I19" i="25"/>
  <c r="I18" i="25"/>
  <c r="H23" i="25"/>
  <c r="H25" i="25" s="1"/>
  <c r="I20" i="25"/>
  <c r="H24" i="25"/>
  <c r="I30" i="25"/>
  <c r="I29" i="25"/>
  <c r="I37" i="25"/>
  <c r="I38" i="25"/>
  <c r="I37" i="24"/>
  <c r="I38" i="24"/>
  <c r="I30" i="24"/>
  <c r="I29" i="24"/>
  <c r="H24" i="24"/>
  <c r="H23" i="24"/>
  <c r="H25" i="24" s="1"/>
  <c r="I20" i="24"/>
  <c r="I19" i="24"/>
  <c r="I18" i="24"/>
  <c r="I39" i="24"/>
  <c r="H41" i="24"/>
  <c r="H43" i="24" s="1"/>
  <c r="H42" i="24"/>
  <c r="H23" i="23"/>
  <c r="H25" i="23" s="1"/>
  <c r="I20" i="23"/>
  <c r="H24" i="23"/>
  <c r="H41" i="23"/>
  <c r="H43" i="23" s="1"/>
  <c r="H42" i="23"/>
  <c r="I39" i="23"/>
  <c r="I38" i="23"/>
  <c r="I37" i="23"/>
  <c r="I18" i="23"/>
  <c r="I19" i="23"/>
  <c r="I20" i="26" l="1"/>
  <c r="I18" i="33"/>
  <c r="I20" i="33" s="1"/>
  <c r="I19" i="33"/>
  <c r="I33" i="27"/>
  <c r="I32" i="27"/>
  <c r="I34" i="27" s="1"/>
  <c r="I23" i="25"/>
  <c r="I25" i="25" s="1"/>
  <c r="I24" i="25"/>
  <c r="I41" i="25"/>
  <c r="I43" i="25" s="1"/>
  <c r="I42" i="25"/>
  <c r="I41" i="24"/>
  <c r="I42" i="24"/>
  <c r="I23" i="24"/>
  <c r="I25" i="24" s="1"/>
  <c r="I24" i="24"/>
  <c r="I43" i="24"/>
  <c r="I41" i="23"/>
  <c r="I43" i="23" s="1"/>
  <c r="I42" i="23"/>
  <c r="I23" i="23"/>
  <c r="I25" i="23" s="1"/>
  <c r="I24" i="23"/>
  <c r="C21" i="7" l="1"/>
  <c r="C21" i="9"/>
  <c r="C26" i="20"/>
  <c r="C31" i="13"/>
  <c r="C22" i="17"/>
  <c r="C31" i="12"/>
  <c r="C26" i="18"/>
  <c r="C26" i="11"/>
  <c r="C31" i="19"/>
  <c r="C31" i="2"/>
  <c r="I43" i="20" l="1"/>
  <c r="H42" i="20"/>
  <c r="G42" i="20"/>
  <c r="F42" i="20"/>
  <c r="E42" i="20"/>
  <c r="C42" i="20"/>
  <c r="B42" i="20"/>
  <c r="I27" i="20"/>
  <c r="I31" i="20" s="1"/>
  <c r="H27" i="20"/>
  <c r="H31" i="20" s="1"/>
  <c r="G27" i="20"/>
  <c r="G31" i="20" s="1"/>
  <c r="F27" i="20"/>
  <c r="F31" i="20" s="1"/>
  <c r="E27" i="20"/>
  <c r="E31" i="20" s="1"/>
  <c r="D27" i="20"/>
  <c r="D31" i="20" s="1"/>
  <c r="C27" i="20"/>
  <c r="C31" i="20" s="1"/>
  <c r="C22" i="20"/>
  <c r="D22" i="20" s="1"/>
  <c r="C12" i="20"/>
  <c r="D12" i="20" s="1"/>
  <c r="E12" i="20" s="1"/>
  <c r="F12" i="20" s="1"/>
  <c r="G12" i="20" s="1"/>
  <c r="H12" i="20" s="1"/>
  <c r="I12" i="20" s="1"/>
  <c r="I11" i="20"/>
  <c r="I16" i="20" s="1"/>
  <c r="H11" i="20"/>
  <c r="H16" i="20" s="1"/>
  <c r="G11" i="20"/>
  <c r="G16" i="20" s="1"/>
  <c r="F11" i="20"/>
  <c r="F16" i="20" s="1"/>
  <c r="E11" i="20"/>
  <c r="E16" i="20" s="1"/>
  <c r="D11" i="20"/>
  <c r="D16" i="20" s="1"/>
  <c r="C11" i="20"/>
  <c r="C16" i="20" s="1"/>
  <c r="C15" i="20"/>
  <c r="C9" i="20"/>
  <c r="C8" i="20"/>
  <c r="D7" i="20"/>
  <c r="E7" i="20" s="1"/>
  <c r="D5" i="20"/>
  <c r="E5" i="20" s="1"/>
  <c r="F5" i="20" s="1"/>
  <c r="C17" i="20" l="1"/>
  <c r="D17" i="20" s="1"/>
  <c r="E17" i="20" s="1"/>
  <c r="F17" i="20" s="1"/>
  <c r="G17" i="20" s="1"/>
  <c r="H17" i="20" s="1"/>
  <c r="I17" i="20" s="1"/>
  <c r="D9" i="20"/>
  <c r="D10" i="20"/>
  <c r="D13" i="20" s="1"/>
  <c r="D8" i="20"/>
  <c r="C14" i="20"/>
  <c r="I42" i="20"/>
  <c r="C13" i="20"/>
  <c r="C24" i="20"/>
  <c r="C25" i="20"/>
  <c r="C28" i="20"/>
  <c r="G5" i="20"/>
  <c r="E8" i="20"/>
  <c r="E9" i="20"/>
  <c r="F7" i="20"/>
  <c r="G7" i="20" s="1"/>
  <c r="H7" i="20" s="1"/>
  <c r="I7" i="20" s="1"/>
  <c r="E22" i="20"/>
  <c r="D25" i="20"/>
  <c r="D24" i="20"/>
  <c r="C30" i="20"/>
  <c r="D15" i="20"/>
  <c r="C19" i="20" l="1"/>
  <c r="C18" i="20"/>
  <c r="C20" i="20" s="1"/>
  <c r="D26" i="20"/>
  <c r="D29" i="20" s="1"/>
  <c r="C29" i="20"/>
  <c r="D14" i="20"/>
  <c r="E10" i="20"/>
  <c r="D30" i="20"/>
  <c r="C33" i="20"/>
  <c r="C32" i="20"/>
  <c r="C34" i="20" s="1"/>
  <c r="F22" i="20"/>
  <c r="E24" i="20"/>
  <c r="E25" i="20"/>
  <c r="G9" i="20"/>
  <c r="H5" i="20"/>
  <c r="G8" i="20"/>
  <c r="F9" i="20"/>
  <c r="D19" i="20"/>
  <c r="E15" i="20"/>
  <c r="D18" i="20"/>
  <c r="D20" i="20" s="1"/>
  <c r="F8" i="20"/>
  <c r="E26" i="20" l="1"/>
  <c r="E28" i="20" s="1"/>
  <c r="D28" i="20"/>
  <c r="F10" i="20"/>
  <c r="E13" i="20"/>
  <c r="E14" i="20"/>
  <c r="H8" i="20"/>
  <c r="I5" i="20"/>
  <c r="H9" i="20"/>
  <c r="E18" i="20"/>
  <c r="F15" i="20"/>
  <c r="E19" i="20"/>
  <c r="F24" i="20"/>
  <c r="F25" i="20"/>
  <c r="G22" i="20"/>
  <c r="E30" i="20"/>
  <c r="D33" i="20"/>
  <c r="D32" i="20"/>
  <c r="E29" i="20" l="1"/>
  <c r="F26" i="20"/>
  <c r="G26" i="20" s="1"/>
  <c r="D34" i="20"/>
  <c r="E20" i="20"/>
  <c r="F13" i="20"/>
  <c r="F14" i="20"/>
  <c r="G10" i="20"/>
  <c r="E32" i="20"/>
  <c r="E34" i="20" s="1"/>
  <c r="E33" i="20"/>
  <c r="F30" i="20"/>
  <c r="G24" i="20"/>
  <c r="G25" i="20"/>
  <c r="H22" i="20"/>
  <c r="I8" i="20"/>
  <c r="I9" i="20"/>
  <c r="G15" i="20"/>
  <c r="F18" i="20"/>
  <c r="F19" i="20"/>
  <c r="F28" i="20" l="1"/>
  <c r="F29" i="20"/>
  <c r="F20" i="20"/>
  <c r="G13" i="20"/>
  <c r="G14" i="20"/>
  <c r="H10" i="20"/>
  <c r="H26" i="20"/>
  <c r="G28" i="20"/>
  <c r="G29" i="20"/>
  <c r="F32" i="20"/>
  <c r="G30" i="20"/>
  <c r="F33" i="20"/>
  <c r="H15" i="20"/>
  <c r="G18" i="20"/>
  <c r="G19" i="20"/>
  <c r="H25" i="20"/>
  <c r="H24" i="20"/>
  <c r="I22" i="20"/>
  <c r="G20" i="20" l="1"/>
  <c r="F34" i="20"/>
  <c r="H14" i="20"/>
  <c r="I10" i="20"/>
  <c r="H13" i="20"/>
  <c r="I26" i="20"/>
  <c r="H28" i="20"/>
  <c r="H29" i="20"/>
  <c r="G32" i="20"/>
  <c r="G34" i="20" s="1"/>
  <c r="G33" i="20"/>
  <c r="H30" i="20"/>
  <c r="H18" i="20"/>
  <c r="I15" i="20"/>
  <c r="H19" i="20"/>
  <c r="I24" i="20"/>
  <c r="I25" i="20"/>
  <c r="H20" i="20" l="1"/>
  <c r="I13" i="20"/>
  <c r="I14" i="20"/>
  <c r="I18" i="20"/>
  <c r="I20" i="20" s="1"/>
  <c r="I19" i="20"/>
  <c r="I28" i="20"/>
  <c r="I29" i="20"/>
  <c r="H33" i="20"/>
  <c r="I30" i="20"/>
  <c r="H32" i="20"/>
  <c r="H34" i="20" s="1"/>
  <c r="I32" i="20" l="1"/>
  <c r="I34" i="20" s="1"/>
  <c r="I33" i="20"/>
  <c r="I52" i="19" l="1"/>
  <c r="H51" i="19"/>
  <c r="G51" i="19"/>
  <c r="F51" i="19"/>
  <c r="E51" i="19"/>
  <c r="C51" i="19"/>
  <c r="B51" i="19"/>
  <c r="I32" i="19"/>
  <c r="I36" i="19" s="1"/>
  <c r="I40" i="19" s="1"/>
  <c r="H32" i="19"/>
  <c r="H36" i="19" s="1"/>
  <c r="H40" i="19" s="1"/>
  <c r="G32" i="19"/>
  <c r="G36" i="19" s="1"/>
  <c r="G40" i="19" s="1"/>
  <c r="F32" i="19"/>
  <c r="F36" i="19" s="1"/>
  <c r="F40" i="19" s="1"/>
  <c r="E32" i="19"/>
  <c r="E36" i="19" s="1"/>
  <c r="E40" i="19" s="1"/>
  <c r="D32" i="19"/>
  <c r="D36" i="19" s="1"/>
  <c r="D40" i="19" s="1"/>
  <c r="C32" i="19"/>
  <c r="C36" i="19" s="1"/>
  <c r="C40" i="19" s="1"/>
  <c r="C27" i="19"/>
  <c r="D27" i="19" s="1"/>
  <c r="C12" i="19"/>
  <c r="D12" i="19" s="1"/>
  <c r="E12" i="19" s="1"/>
  <c r="F12" i="19" s="1"/>
  <c r="G12" i="19" s="1"/>
  <c r="H12" i="19" s="1"/>
  <c r="I12" i="19" s="1"/>
  <c r="I11" i="19"/>
  <c r="I16" i="19" s="1"/>
  <c r="I21" i="19" s="1"/>
  <c r="H11" i="19"/>
  <c r="H16" i="19" s="1"/>
  <c r="H21" i="19" s="1"/>
  <c r="G11" i="19"/>
  <c r="G16" i="19" s="1"/>
  <c r="G21" i="19" s="1"/>
  <c r="F11" i="19"/>
  <c r="F16" i="19" s="1"/>
  <c r="F21" i="19" s="1"/>
  <c r="E11" i="19"/>
  <c r="E16" i="19" s="1"/>
  <c r="E21" i="19" s="1"/>
  <c r="D11" i="19"/>
  <c r="D16" i="19" s="1"/>
  <c r="D21" i="19" s="1"/>
  <c r="C11" i="19"/>
  <c r="C16" i="19" s="1"/>
  <c r="C21" i="19" s="1"/>
  <c r="D10" i="19"/>
  <c r="C9" i="19"/>
  <c r="C8" i="19"/>
  <c r="D7" i="19"/>
  <c r="E7" i="19" s="1"/>
  <c r="F7" i="19" s="1"/>
  <c r="G7" i="19" s="1"/>
  <c r="H7" i="19" s="1"/>
  <c r="I7" i="19" s="1"/>
  <c r="D5" i="19"/>
  <c r="E5" i="19" s="1"/>
  <c r="D9" i="19" l="1"/>
  <c r="D14" i="19"/>
  <c r="C17" i="19"/>
  <c r="D17" i="19" s="1"/>
  <c r="E17" i="19" s="1"/>
  <c r="F17" i="19" s="1"/>
  <c r="G17" i="19" s="1"/>
  <c r="H17" i="19" s="1"/>
  <c r="I17" i="19" s="1"/>
  <c r="C33" i="19"/>
  <c r="C22" i="19"/>
  <c r="D22" i="19" s="1"/>
  <c r="E22" i="19" s="1"/>
  <c r="F22" i="19" s="1"/>
  <c r="G22" i="19" s="1"/>
  <c r="H22" i="19" s="1"/>
  <c r="I22" i="19" s="1"/>
  <c r="C13" i="19"/>
  <c r="C14" i="19"/>
  <c r="C15" i="19"/>
  <c r="I51" i="19"/>
  <c r="D8" i="19"/>
  <c r="E27" i="19"/>
  <c r="D29" i="19"/>
  <c r="D30" i="19"/>
  <c r="F5" i="19"/>
  <c r="E8" i="19"/>
  <c r="E9" i="19"/>
  <c r="E10" i="19"/>
  <c r="C30" i="19"/>
  <c r="C29" i="19"/>
  <c r="D13" i="19"/>
  <c r="C35" i="19"/>
  <c r="C39" i="19" s="1"/>
  <c r="C34" i="19"/>
  <c r="C19" i="19" l="1"/>
  <c r="C42" i="19"/>
  <c r="C41" i="19"/>
  <c r="D39" i="19"/>
  <c r="D31" i="19"/>
  <c r="D34" i="19" s="1"/>
  <c r="C18" i="19"/>
  <c r="C20" i="19"/>
  <c r="D15" i="19"/>
  <c r="D18" i="19" s="1"/>
  <c r="E13" i="19"/>
  <c r="E14" i="19"/>
  <c r="F10" i="19"/>
  <c r="D35" i="19"/>
  <c r="C37" i="19"/>
  <c r="C43" i="19" s="1"/>
  <c r="C38" i="19"/>
  <c r="F8" i="19"/>
  <c r="G5" i="19"/>
  <c r="F9" i="19"/>
  <c r="F27" i="19"/>
  <c r="E30" i="19"/>
  <c r="E29" i="19"/>
  <c r="D33" i="19" l="1"/>
  <c r="E31" i="19"/>
  <c r="F31" i="19" s="1"/>
  <c r="E15" i="19"/>
  <c r="E19" i="19" s="1"/>
  <c r="D19" i="19"/>
  <c r="D41" i="19"/>
  <c r="D42" i="19"/>
  <c r="E39" i="19"/>
  <c r="D20" i="19"/>
  <c r="C24" i="19"/>
  <c r="C23" i="19"/>
  <c r="C25" i="19" s="1"/>
  <c r="E35" i="19"/>
  <c r="D37" i="19"/>
  <c r="D38" i="19"/>
  <c r="G27" i="19"/>
  <c r="F29" i="19"/>
  <c r="F30" i="19"/>
  <c r="G8" i="19"/>
  <c r="G9" i="19"/>
  <c r="H5" i="19"/>
  <c r="F13" i="19"/>
  <c r="F14" i="19"/>
  <c r="G10" i="19"/>
  <c r="D43" i="19" l="1"/>
  <c r="E34" i="19"/>
  <c r="E33" i="19"/>
  <c r="E18" i="19"/>
  <c r="F15" i="19"/>
  <c r="F19" i="19" s="1"/>
  <c r="F39" i="19"/>
  <c r="E42" i="19"/>
  <c r="E41" i="19"/>
  <c r="E20" i="19"/>
  <c r="D24" i="19"/>
  <c r="D23" i="19"/>
  <c r="D25" i="19" s="1"/>
  <c r="G14" i="19"/>
  <c r="H10" i="19"/>
  <c r="G13" i="19"/>
  <c r="G31" i="19"/>
  <c r="F33" i="19"/>
  <c r="F34" i="19"/>
  <c r="E38" i="19"/>
  <c r="F35" i="19"/>
  <c r="E37" i="19"/>
  <c r="G29" i="19"/>
  <c r="G30" i="19"/>
  <c r="H27" i="19"/>
  <c r="H8" i="19"/>
  <c r="H9" i="19"/>
  <c r="I5" i="19"/>
  <c r="E43" i="19" l="1"/>
  <c r="F18" i="19"/>
  <c r="G15" i="19"/>
  <c r="G18" i="19" s="1"/>
  <c r="F41" i="19"/>
  <c r="F42" i="19"/>
  <c r="G39" i="19"/>
  <c r="F20" i="19"/>
  <c r="E23" i="19"/>
  <c r="E25" i="19" s="1"/>
  <c r="E24" i="19"/>
  <c r="I10" i="19"/>
  <c r="H13" i="19"/>
  <c r="H14" i="19"/>
  <c r="G35" i="19"/>
  <c r="F37" i="19"/>
  <c r="F38" i="19"/>
  <c r="I8" i="19"/>
  <c r="I9" i="19"/>
  <c r="H30" i="19"/>
  <c r="H29" i="19"/>
  <c r="I27" i="19"/>
  <c r="H31" i="19"/>
  <c r="G33" i="19"/>
  <c r="G34" i="19"/>
  <c r="G19" i="19" l="1"/>
  <c r="H15" i="19"/>
  <c r="I15" i="19" s="1"/>
  <c r="F43" i="19"/>
  <c r="G41" i="19"/>
  <c r="H39" i="19"/>
  <c r="G42" i="19"/>
  <c r="G20" i="19"/>
  <c r="F23" i="19"/>
  <c r="F25" i="19" s="1"/>
  <c r="F24" i="19"/>
  <c r="I31" i="19"/>
  <c r="H33" i="19"/>
  <c r="H34" i="19"/>
  <c r="I14" i="19"/>
  <c r="I13" i="19"/>
  <c r="I29" i="19"/>
  <c r="I30" i="19"/>
  <c r="G37" i="19"/>
  <c r="G38" i="19"/>
  <c r="H35" i="19"/>
  <c r="H19" i="19" l="1"/>
  <c r="H18" i="19"/>
  <c r="G43" i="19"/>
  <c r="H41" i="19"/>
  <c r="I39" i="19"/>
  <c r="H42" i="19"/>
  <c r="G23" i="19"/>
  <c r="G25" i="19" s="1"/>
  <c r="G24" i="19"/>
  <c r="H20" i="19"/>
  <c r="H38" i="19"/>
  <c r="I35" i="19"/>
  <c r="H37" i="19"/>
  <c r="I19" i="19"/>
  <c r="I18" i="19"/>
  <c r="I34" i="19"/>
  <c r="I33" i="19"/>
  <c r="H43" i="19" l="1"/>
  <c r="I42" i="19"/>
  <c r="I41" i="19"/>
  <c r="H23" i="19"/>
  <c r="H25" i="19" s="1"/>
  <c r="H24" i="19"/>
  <c r="I20" i="19"/>
  <c r="I37" i="19"/>
  <c r="I43" i="19" s="1"/>
  <c r="I38" i="19"/>
  <c r="I24" i="19" l="1"/>
  <c r="I23" i="19"/>
  <c r="I25" i="19" s="1"/>
  <c r="I43" i="18" l="1"/>
  <c r="H42" i="18"/>
  <c r="G42" i="18"/>
  <c r="F42" i="18"/>
  <c r="E42" i="18"/>
  <c r="C42" i="18"/>
  <c r="B42" i="18"/>
  <c r="I27" i="18"/>
  <c r="I31" i="18" s="1"/>
  <c r="H27" i="18"/>
  <c r="H31" i="18" s="1"/>
  <c r="G27" i="18"/>
  <c r="G31" i="18" s="1"/>
  <c r="F27" i="18"/>
  <c r="F31" i="18" s="1"/>
  <c r="E27" i="18"/>
  <c r="E31" i="18" s="1"/>
  <c r="D27" i="18"/>
  <c r="D31" i="18" s="1"/>
  <c r="C27" i="18"/>
  <c r="C31" i="18" s="1"/>
  <c r="C22" i="18"/>
  <c r="D22" i="18" s="1"/>
  <c r="C12" i="18"/>
  <c r="D12" i="18" s="1"/>
  <c r="I11" i="18"/>
  <c r="I16" i="18" s="1"/>
  <c r="H11" i="18"/>
  <c r="H16" i="18" s="1"/>
  <c r="G11" i="18"/>
  <c r="G16" i="18" s="1"/>
  <c r="F11" i="18"/>
  <c r="F16" i="18" s="1"/>
  <c r="E11" i="18"/>
  <c r="E16" i="18" s="1"/>
  <c r="D11" i="18"/>
  <c r="D16" i="18" s="1"/>
  <c r="C11" i="18"/>
  <c r="C16" i="18" s="1"/>
  <c r="C15" i="18"/>
  <c r="C9" i="18"/>
  <c r="C8" i="18"/>
  <c r="D7" i="18"/>
  <c r="E7" i="18" s="1"/>
  <c r="F7" i="18" s="1"/>
  <c r="G7" i="18" s="1"/>
  <c r="H7" i="18" s="1"/>
  <c r="D5" i="18"/>
  <c r="E5" i="18" s="1"/>
  <c r="C13" i="17"/>
  <c r="D13" i="17" s="1"/>
  <c r="C9" i="17"/>
  <c r="H35" i="17"/>
  <c r="G34" i="17"/>
  <c r="F34" i="17"/>
  <c r="E34" i="17"/>
  <c r="C34" i="17"/>
  <c r="B34" i="17"/>
  <c r="G23" i="17"/>
  <c r="F23" i="17"/>
  <c r="E23" i="17"/>
  <c r="D23" i="17"/>
  <c r="C23" i="17"/>
  <c r="C18" i="17"/>
  <c r="C21" i="17" s="1"/>
  <c r="G12" i="17"/>
  <c r="F12" i="17"/>
  <c r="E12" i="17"/>
  <c r="D12" i="17"/>
  <c r="C12" i="17"/>
  <c r="D6" i="17"/>
  <c r="C12" i="13"/>
  <c r="D12" i="13" s="1"/>
  <c r="C9" i="13"/>
  <c r="C8" i="13"/>
  <c r="I52" i="13"/>
  <c r="H51" i="13"/>
  <c r="G51" i="13"/>
  <c r="F51" i="13"/>
  <c r="E51" i="13"/>
  <c r="C51" i="13"/>
  <c r="B51" i="13"/>
  <c r="I32" i="13"/>
  <c r="I36" i="13" s="1"/>
  <c r="I40" i="13" s="1"/>
  <c r="H32" i="13"/>
  <c r="H36" i="13" s="1"/>
  <c r="H40" i="13" s="1"/>
  <c r="G32" i="13"/>
  <c r="G36" i="13" s="1"/>
  <c r="G40" i="13" s="1"/>
  <c r="F32" i="13"/>
  <c r="F36" i="13" s="1"/>
  <c r="F40" i="13" s="1"/>
  <c r="E32" i="13"/>
  <c r="E36" i="13" s="1"/>
  <c r="E40" i="13" s="1"/>
  <c r="D32" i="13"/>
  <c r="D36" i="13" s="1"/>
  <c r="D40" i="13" s="1"/>
  <c r="C32" i="13"/>
  <c r="C36" i="13" s="1"/>
  <c r="C40" i="13" s="1"/>
  <c r="C27" i="13"/>
  <c r="C30" i="13" s="1"/>
  <c r="I11" i="13"/>
  <c r="I16" i="13" s="1"/>
  <c r="I21" i="13" s="1"/>
  <c r="H11" i="13"/>
  <c r="H16" i="13" s="1"/>
  <c r="H21" i="13" s="1"/>
  <c r="G11" i="13"/>
  <c r="G16" i="13" s="1"/>
  <c r="G21" i="13" s="1"/>
  <c r="F11" i="13"/>
  <c r="F16" i="13" s="1"/>
  <c r="F21" i="13" s="1"/>
  <c r="E11" i="13"/>
  <c r="E16" i="13" s="1"/>
  <c r="E21" i="13" s="1"/>
  <c r="D11" i="13"/>
  <c r="D16" i="13" s="1"/>
  <c r="D21" i="13" s="1"/>
  <c r="C11" i="13"/>
  <c r="C16" i="13" s="1"/>
  <c r="C21" i="13" s="1"/>
  <c r="D10" i="13"/>
  <c r="D5" i="13"/>
  <c r="C12" i="12"/>
  <c r="D12" i="12" s="1"/>
  <c r="C9" i="12"/>
  <c r="C8" i="12"/>
  <c r="I52" i="12"/>
  <c r="H51" i="12"/>
  <c r="G51" i="12"/>
  <c r="F51" i="12"/>
  <c r="E51" i="12"/>
  <c r="C51" i="12"/>
  <c r="B51" i="12"/>
  <c r="I32" i="12"/>
  <c r="I36" i="12" s="1"/>
  <c r="I40" i="12" s="1"/>
  <c r="H32" i="12"/>
  <c r="H36" i="12" s="1"/>
  <c r="H40" i="12" s="1"/>
  <c r="G32" i="12"/>
  <c r="G36" i="12" s="1"/>
  <c r="G40" i="12" s="1"/>
  <c r="F32" i="12"/>
  <c r="F36" i="12" s="1"/>
  <c r="F40" i="12" s="1"/>
  <c r="E32" i="12"/>
  <c r="E36" i="12" s="1"/>
  <c r="E40" i="12" s="1"/>
  <c r="D32" i="12"/>
  <c r="D36" i="12" s="1"/>
  <c r="D40" i="12" s="1"/>
  <c r="C32" i="12"/>
  <c r="C36" i="12" s="1"/>
  <c r="C40" i="12" s="1"/>
  <c r="C27" i="12"/>
  <c r="D27" i="12" s="1"/>
  <c r="D29" i="12" s="1"/>
  <c r="I11" i="12"/>
  <c r="I16" i="12" s="1"/>
  <c r="I21" i="12" s="1"/>
  <c r="H11" i="12"/>
  <c r="H16" i="12" s="1"/>
  <c r="H21" i="12" s="1"/>
  <c r="G11" i="12"/>
  <c r="G16" i="12" s="1"/>
  <c r="G21" i="12" s="1"/>
  <c r="F11" i="12"/>
  <c r="F16" i="12" s="1"/>
  <c r="F21" i="12" s="1"/>
  <c r="E11" i="12"/>
  <c r="E16" i="12" s="1"/>
  <c r="E21" i="12" s="1"/>
  <c r="D11" i="12"/>
  <c r="D16" i="12" s="1"/>
  <c r="D21" i="12" s="1"/>
  <c r="C11" i="12"/>
  <c r="C16" i="12" s="1"/>
  <c r="C21" i="12" s="1"/>
  <c r="C15" i="12"/>
  <c r="C20" i="12" s="1"/>
  <c r="D5" i="12"/>
  <c r="C12" i="11"/>
  <c r="C9" i="11"/>
  <c r="C8" i="11"/>
  <c r="D7" i="11"/>
  <c r="E7" i="11" s="1"/>
  <c r="I43" i="11"/>
  <c r="H42" i="11"/>
  <c r="G42" i="11"/>
  <c r="F42" i="11"/>
  <c r="E42" i="11"/>
  <c r="C42" i="11"/>
  <c r="B42" i="11"/>
  <c r="I27" i="11"/>
  <c r="I31" i="11" s="1"/>
  <c r="H27" i="11"/>
  <c r="H31" i="11" s="1"/>
  <c r="G27" i="11"/>
  <c r="G31" i="11" s="1"/>
  <c r="F27" i="11"/>
  <c r="F31" i="11" s="1"/>
  <c r="E27" i="11"/>
  <c r="E31" i="11" s="1"/>
  <c r="D27" i="11"/>
  <c r="D31" i="11" s="1"/>
  <c r="C27" i="11"/>
  <c r="C31" i="11" s="1"/>
  <c r="C22" i="11"/>
  <c r="D22" i="11" s="1"/>
  <c r="D24" i="11" s="1"/>
  <c r="I11" i="11"/>
  <c r="I16" i="11" s="1"/>
  <c r="H11" i="11"/>
  <c r="H16" i="11" s="1"/>
  <c r="G11" i="11"/>
  <c r="G16" i="11" s="1"/>
  <c r="F11" i="11"/>
  <c r="F16" i="11" s="1"/>
  <c r="E11" i="11"/>
  <c r="E16" i="11" s="1"/>
  <c r="D11" i="11"/>
  <c r="D16" i="11" s="1"/>
  <c r="C11" i="11"/>
  <c r="C16" i="11" s="1"/>
  <c r="D10" i="11"/>
  <c r="D5" i="11"/>
  <c r="C12" i="10"/>
  <c r="C17" i="10" s="1"/>
  <c r="C9" i="10"/>
  <c r="C8" i="10"/>
  <c r="D7" i="10"/>
  <c r="H52" i="10"/>
  <c r="G51" i="10"/>
  <c r="F51" i="10"/>
  <c r="E51" i="10"/>
  <c r="C51" i="10"/>
  <c r="B51" i="10"/>
  <c r="I32" i="10"/>
  <c r="I36" i="10" s="1"/>
  <c r="I40" i="10" s="1"/>
  <c r="H32" i="10"/>
  <c r="H36" i="10" s="1"/>
  <c r="H40" i="10" s="1"/>
  <c r="G32" i="10"/>
  <c r="G36" i="10" s="1"/>
  <c r="G40" i="10" s="1"/>
  <c r="F32" i="10"/>
  <c r="F36" i="10" s="1"/>
  <c r="F40" i="10" s="1"/>
  <c r="E32" i="10"/>
  <c r="E36" i="10" s="1"/>
  <c r="E40" i="10" s="1"/>
  <c r="D32" i="10"/>
  <c r="D36" i="10" s="1"/>
  <c r="D40" i="10" s="1"/>
  <c r="C32" i="10"/>
  <c r="C36" i="10" s="1"/>
  <c r="C40" i="10" s="1"/>
  <c r="C27" i="10"/>
  <c r="C30" i="10" s="1"/>
  <c r="I11" i="10"/>
  <c r="I16" i="10" s="1"/>
  <c r="I21" i="10" s="1"/>
  <c r="H11" i="10"/>
  <c r="H16" i="10" s="1"/>
  <c r="H21" i="10" s="1"/>
  <c r="G11" i="10"/>
  <c r="G16" i="10" s="1"/>
  <c r="G21" i="10" s="1"/>
  <c r="F11" i="10"/>
  <c r="F16" i="10" s="1"/>
  <c r="F21" i="10" s="1"/>
  <c r="E11" i="10"/>
  <c r="E16" i="10" s="1"/>
  <c r="E21" i="10" s="1"/>
  <c r="D11" i="10"/>
  <c r="D16" i="10" s="1"/>
  <c r="D21" i="10" s="1"/>
  <c r="C11" i="10"/>
  <c r="C16" i="10" s="1"/>
  <c r="C21" i="10" s="1"/>
  <c r="C10" i="10"/>
  <c r="D10" i="10" s="1"/>
  <c r="D5" i="10"/>
  <c r="E5" i="10" s="1"/>
  <c r="C12" i="9"/>
  <c r="C9" i="9"/>
  <c r="C8" i="9"/>
  <c r="D7" i="9"/>
  <c r="H33" i="9"/>
  <c r="G33" i="9"/>
  <c r="F33" i="9"/>
  <c r="E33" i="9"/>
  <c r="C33" i="9"/>
  <c r="B33" i="9"/>
  <c r="G22" i="9"/>
  <c r="F22" i="9"/>
  <c r="E22" i="9"/>
  <c r="D22" i="9"/>
  <c r="C22" i="9"/>
  <c r="C17" i="9"/>
  <c r="G11" i="9"/>
  <c r="F11" i="9"/>
  <c r="E11" i="9"/>
  <c r="D11" i="9"/>
  <c r="C11" i="9"/>
  <c r="D5" i="9"/>
  <c r="C23" i="9" l="1"/>
  <c r="D8" i="9"/>
  <c r="C28" i="18"/>
  <c r="C13" i="9"/>
  <c r="C15" i="9" s="1"/>
  <c r="C15" i="17"/>
  <c r="C17" i="18"/>
  <c r="D17" i="18" s="1"/>
  <c r="E17" i="18" s="1"/>
  <c r="F17" i="18" s="1"/>
  <c r="G17" i="18" s="1"/>
  <c r="H17" i="18" s="1"/>
  <c r="I17" i="18" s="1"/>
  <c r="C18" i="18"/>
  <c r="D9" i="11"/>
  <c r="D9" i="18"/>
  <c r="C25" i="18"/>
  <c r="I42" i="18"/>
  <c r="C13" i="18"/>
  <c r="D8" i="18"/>
  <c r="C14" i="18"/>
  <c r="D10" i="18"/>
  <c r="E10" i="18" s="1"/>
  <c r="F10" i="18" s="1"/>
  <c r="C24" i="18"/>
  <c r="D20" i="12"/>
  <c r="I7" i="18"/>
  <c r="E12" i="18"/>
  <c r="F12" i="18" s="1"/>
  <c r="G12" i="18" s="1"/>
  <c r="H12" i="18" s="1"/>
  <c r="E22" i="18"/>
  <c r="D25" i="18"/>
  <c r="D24" i="18"/>
  <c r="E8" i="18"/>
  <c r="E9" i="18"/>
  <c r="F5" i="18"/>
  <c r="D26" i="18"/>
  <c r="D15" i="18"/>
  <c r="C30" i="18"/>
  <c r="C29" i="18"/>
  <c r="C20" i="9"/>
  <c r="C19" i="9"/>
  <c r="H34" i="17"/>
  <c r="C20" i="17"/>
  <c r="C14" i="17"/>
  <c r="C16" i="17" s="1"/>
  <c r="E13" i="17"/>
  <c r="C10" i="17"/>
  <c r="D8" i="17"/>
  <c r="D11" i="17"/>
  <c r="D18" i="17"/>
  <c r="E6" i="17"/>
  <c r="I51" i="13"/>
  <c r="C29" i="13"/>
  <c r="C13" i="13"/>
  <c r="C17" i="13"/>
  <c r="D17" i="13" s="1"/>
  <c r="C14" i="13"/>
  <c r="D13" i="13"/>
  <c r="D14" i="13"/>
  <c r="E12" i="13"/>
  <c r="D7" i="13"/>
  <c r="C15" i="13"/>
  <c r="D27" i="13"/>
  <c r="E10" i="13"/>
  <c r="D15" i="13"/>
  <c r="C20" i="13"/>
  <c r="E5" i="13"/>
  <c r="C29" i="12"/>
  <c r="C30" i="12"/>
  <c r="D30" i="12"/>
  <c r="C13" i="12"/>
  <c r="C14" i="12"/>
  <c r="C17" i="12"/>
  <c r="E12" i="12"/>
  <c r="D7" i="12"/>
  <c r="I51" i="12"/>
  <c r="D10" i="12"/>
  <c r="E27" i="12"/>
  <c r="D15" i="12"/>
  <c r="E5" i="12"/>
  <c r="I42" i="11"/>
  <c r="C14" i="11"/>
  <c r="C13" i="11"/>
  <c r="D12" i="11"/>
  <c r="D13" i="11" s="1"/>
  <c r="C24" i="11"/>
  <c r="C17" i="11"/>
  <c r="D17" i="11" s="1"/>
  <c r="E17" i="11" s="1"/>
  <c r="C25" i="11"/>
  <c r="D25" i="11"/>
  <c r="F7" i="11"/>
  <c r="D8" i="11"/>
  <c r="C15" i="11"/>
  <c r="E22" i="11"/>
  <c r="E10" i="11"/>
  <c r="E5" i="11"/>
  <c r="E8" i="11" s="1"/>
  <c r="C29" i="10"/>
  <c r="D8" i="10"/>
  <c r="C13" i="10"/>
  <c r="C14" i="10"/>
  <c r="D17" i="10"/>
  <c r="E17" i="10" s="1"/>
  <c r="C22" i="10"/>
  <c r="D12" i="10"/>
  <c r="E12" i="10" s="1"/>
  <c r="F12" i="10" s="1"/>
  <c r="D9" i="10"/>
  <c r="E7" i="10"/>
  <c r="H51" i="10"/>
  <c r="C15" i="10"/>
  <c r="D15" i="10" s="1"/>
  <c r="E10" i="10"/>
  <c r="F5" i="10"/>
  <c r="D27" i="10"/>
  <c r="C31" i="10"/>
  <c r="C24" i="9"/>
  <c r="D12" i="9"/>
  <c r="C14" i="9"/>
  <c r="E7" i="9"/>
  <c r="D9" i="9"/>
  <c r="D10" i="9"/>
  <c r="D17" i="9"/>
  <c r="D19" i="9" s="1"/>
  <c r="D21" i="9"/>
  <c r="D23" i="9" s="1"/>
  <c r="E5" i="9"/>
  <c r="D14" i="17" l="1"/>
  <c r="D22" i="17"/>
  <c r="E10" i="12"/>
  <c r="E31" i="12" s="1"/>
  <c r="D31" i="12"/>
  <c r="E9" i="11"/>
  <c r="C19" i="18"/>
  <c r="D14" i="18"/>
  <c r="D13" i="18"/>
  <c r="C20" i="18"/>
  <c r="E13" i="18"/>
  <c r="E14" i="18"/>
  <c r="D17" i="12"/>
  <c r="E17" i="12" s="1"/>
  <c r="F17" i="12" s="1"/>
  <c r="C22" i="12"/>
  <c r="E20" i="12"/>
  <c r="D19" i="18"/>
  <c r="E15" i="18"/>
  <c r="D18" i="18"/>
  <c r="D20" i="18" s="1"/>
  <c r="F22" i="18"/>
  <c r="E25" i="18"/>
  <c r="E24" i="18"/>
  <c r="F13" i="18"/>
  <c r="F14" i="18"/>
  <c r="G10" i="18"/>
  <c r="H10" i="18" s="1"/>
  <c r="D30" i="18"/>
  <c r="C32" i="18"/>
  <c r="C34" i="18" s="1"/>
  <c r="C33" i="18"/>
  <c r="G5" i="18"/>
  <c r="H5" i="18" s="1"/>
  <c r="F9" i="18"/>
  <c r="F8" i="18"/>
  <c r="D29" i="18"/>
  <c r="D28" i="18"/>
  <c r="E26" i="18"/>
  <c r="I12" i="18"/>
  <c r="D20" i="17"/>
  <c r="D21" i="17"/>
  <c r="C24" i="17"/>
  <c r="C26" i="17" s="1"/>
  <c r="C25" i="17"/>
  <c r="E11" i="17"/>
  <c r="F11" i="17" s="1"/>
  <c r="F22" i="17" s="1"/>
  <c r="D15" i="17"/>
  <c r="F13" i="17"/>
  <c r="D9" i="17"/>
  <c r="D16" i="17" s="1"/>
  <c r="E8" i="17"/>
  <c r="D10" i="17"/>
  <c r="F6" i="17"/>
  <c r="E18" i="17"/>
  <c r="D30" i="13"/>
  <c r="D29" i="13"/>
  <c r="C33" i="13"/>
  <c r="C34" i="13"/>
  <c r="C18" i="13"/>
  <c r="C22" i="13"/>
  <c r="C19" i="13"/>
  <c r="D18" i="13"/>
  <c r="D19" i="13"/>
  <c r="E17" i="13"/>
  <c r="F12" i="13"/>
  <c r="E13" i="13"/>
  <c r="E14" i="13"/>
  <c r="D8" i="13"/>
  <c r="E7" i="13"/>
  <c r="D9" i="13"/>
  <c r="E27" i="13"/>
  <c r="F27" i="13" s="1"/>
  <c r="E15" i="13"/>
  <c r="F5" i="13"/>
  <c r="D31" i="13"/>
  <c r="C35" i="13"/>
  <c r="D20" i="13"/>
  <c r="F10" i="13"/>
  <c r="D13" i="12"/>
  <c r="D14" i="12"/>
  <c r="C18" i="12"/>
  <c r="C19" i="12"/>
  <c r="C33" i="12"/>
  <c r="C34" i="12"/>
  <c r="E30" i="12"/>
  <c r="E29" i="12"/>
  <c r="F12" i="12"/>
  <c r="D9" i="12"/>
  <c r="E7" i="12"/>
  <c r="D8" i="12"/>
  <c r="C35" i="12"/>
  <c r="C39" i="12" s="1"/>
  <c r="E15" i="12"/>
  <c r="F27" i="12"/>
  <c r="F5" i="12"/>
  <c r="E12" i="11"/>
  <c r="E13" i="11" s="1"/>
  <c r="D14" i="11"/>
  <c r="C19" i="11"/>
  <c r="C18" i="11"/>
  <c r="C20" i="11" s="1"/>
  <c r="E25" i="11"/>
  <c r="E24" i="11"/>
  <c r="C29" i="11"/>
  <c r="C28" i="11"/>
  <c r="F17" i="11"/>
  <c r="G7" i="11"/>
  <c r="D15" i="11"/>
  <c r="E15" i="11" s="1"/>
  <c r="D26" i="11"/>
  <c r="C30" i="11"/>
  <c r="F10" i="11"/>
  <c r="F22" i="11"/>
  <c r="F5" i="11"/>
  <c r="F9" i="11" s="1"/>
  <c r="C19" i="10"/>
  <c r="E14" i="10"/>
  <c r="D14" i="10"/>
  <c r="E13" i="10"/>
  <c r="D18" i="10"/>
  <c r="D29" i="10"/>
  <c r="D30" i="10"/>
  <c r="C33" i="10"/>
  <c r="C34" i="10"/>
  <c r="C18" i="10"/>
  <c r="D19" i="10"/>
  <c r="D22" i="10"/>
  <c r="D13" i="10"/>
  <c r="F17" i="10"/>
  <c r="G12" i="10"/>
  <c r="F7" i="10"/>
  <c r="E8" i="10"/>
  <c r="E9" i="10"/>
  <c r="C20" i="10"/>
  <c r="D20" i="10" s="1"/>
  <c r="E27" i="10"/>
  <c r="D31" i="10"/>
  <c r="C35" i="10"/>
  <c r="G5" i="10"/>
  <c r="E15" i="10"/>
  <c r="E19" i="10" s="1"/>
  <c r="F10" i="10"/>
  <c r="F13" i="10" s="1"/>
  <c r="E17" i="9"/>
  <c r="E19" i="9" s="1"/>
  <c r="D20" i="9"/>
  <c r="D25" i="9"/>
  <c r="D24" i="9"/>
  <c r="D13" i="9"/>
  <c r="D15" i="9" s="1"/>
  <c r="E12" i="9"/>
  <c r="D14" i="9"/>
  <c r="F7" i="9"/>
  <c r="E9" i="9"/>
  <c r="E8" i="9"/>
  <c r="C25" i="9"/>
  <c r="E10" i="9"/>
  <c r="E21" i="9"/>
  <c r="E23" i="9" s="1"/>
  <c r="F5" i="9"/>
  <c r="E15" i="17" l="1"/>
  <c r="E13" i="12"/>
  <c r="E14" i="12"/>
  <c r="F10" i="12"/>
  <c r="G10" i="12" s="1"/>
  <c r="E14" i="17"/>
  <c r="E22" i="17"/>
  <c r="E14" i="11"/>
  <c r="F12" i="11"/>
  <c r="F13" i="11" s="1"/>
  <c r="E19" i="12"/>
  <c r="D19" i="12"/>
  <c r="D18" i="12"/>
  <c r="H22" i="18"/>
  <c r="I5" i="18"/>
  <c r="H8" i="18"/>
  <c r="H9" i="18"/>
  <c r="C42" i="12"/>
  <c r="D39" i="12"/>
  <c r="C41" i="12"/>
  <c r="F20" i="12"/>
  <c r="D22" i="12"/>
  <c r="C23" i="12"/>
  <c r="C25" i="12" s="1"/>
  <c r="C24" i="12"/>
  <c r="F15" i="18"/>
  <c r="E18" i="18"/>
  <c r="E20" i="18" s="1"/>
  <c r="E19" i="18"/>
  <c r="G9" i="18"/>
  <c r="G8" i="18"/>
  <c r="E29" i="18"/>
  <c r="F26" i="18"/>
  <c r="E28" i="18"/>
  <c r="E30" i="18"/>
  <c r="D33" i="18"/>
  <c r="D32" i="18"/>
  <c r="D34" i="18" s="1"/>
  <c r="F24" i="18"/>
  <c r="F25" i="18"/>
  <c r="G22" i="18"/>
  <c r="G14" i="18"/>
  <c r="G13" i="18"/>
  <c r="E18" i="12"/>
  <c r="F17" i="9"/>
  <c r="F19" i="9" s="1"/>
  <c r="E21" i="17"/>
  <c r="E20" i="17"/>
  <c r="D24" i="17"/>
  <c r="D26" i="17" s="1"/>
  <c r="D25" i="17"/>
  <c r="F15" i="17"/>
  <c r="G13" i="17"/>
  <c r="F14" i="17"/>
  <c r="E9" i="17"/>
  <c r="E10" i="17"/>
  <c r="F8" i="17"/>
  <c r="G6" i="17"/>
  <c r="F18" i="17"/>
  <c r="G11" i="17"/>
  <c r="G22" i="17" s="1"/>
  <c r="C38" i="13"/>
  <c r="C37" i="13"/>
  <c r="D33" i="13"/>
  <c r="D34" i="13"/>
  <c r="F29" i="13"/>
  <c r="F30" i="13"/>
  <c r="E30" i="13"/>
  <c r="E29" i="13"/>
  <c r="C23" i="13"/>
  <c r="C25" i="13" s="1"/>
  <c r="C24" i="13"/>
  <c r="D22" i="13"/>
  <c r="E19" i="13"/>
  <c r="F17" i="13"/>
  <c r="E18" i="13"/>
  <c r="G12" i="13"/>
  <c r="F13" i="13"/>
  <c r="F14" i="13"/>
  <c r="E8" i="13"/>
  <c r="E9" i="13"/>
  <c r="F7" i="13"/>
  <c r="G10" i="13"/>
  <c r="H10" i="13" s="1"/>
  <c r="F15" i="13"/>
  <c r="D35" i="13"/>
  <c r="C39" i="13"/>
  <c r="E31" i="13"/>
  <c r="E20" i="13"/>
  <c r="G5" i="13"/>
  <c r="G27" i="13"/>
  <c r="D33" i="12"/>
  <c r="D34" i="12"/>
  <c r="C37" i="12"/>
  <c r="C38" i="12"/>
  <c r="F29" i="12"/>
  <c r="F30" i="12"/>
  <c r="G17" i="12"/>
  <c r="G12" i="12"/>
  <c r="F7" i="12"/>
  <c r="E9" i="12"/>
  <c r="E8" i="12"/>
  <c r="D35" i="12"/>
  <c r="E35" i="12" s="1"/>
  <c r="F15" i="12"/>
  <c r="F18" i="12" s="1"/>
  <c r="G27" i="12"/>
  <c r="G5" i="12"/>
  <c r="H5" i="12" s="1"/>
  <c r="E18" i="11"/>
  <c r="E20" i="11" s="1"/>
  <c r="E19" i="11"/>
  <c r="F8" i="11"/>
  <c r="D19" i="11"/>
  <c r="D18" i="11"/>
  <c r="D20" i="11" s="1"/>
  <c r="C32" i="11"/>
  <c r="C34" i="11" s="1"/>
  <c r="C33" i="11"/>
  <c r="D28" i="11"/>
  <c r="D29" i="11"/>
  <c r="E26" i="11"/>
  <c r="F24" i="11"/>
  <c r="F25" i="11"/>
  <c r="G17" i="11"/>
  <c r="G12" i="11"/>
  <c r="H7" i="11"/>
  <c r="D30" i="11"/>
  <c r="E30" i="11" s="1"/>
  <c r="F15" i="11"/>
  <c r="F19" i="11" s="1"/>
  <c r="G22" i="11"/>
  <c r="G5" i="11"/>
  <c r="G9" i="11" s="1"/>
  <c r="G10" i="11"/>
  <c r="E18" i="10"/>
  <c r="E29" i="10"/>
  <c r="E30" i="10"/>
  <c r="C37" i="10"/>
  <c r="C38" i="10"/>
  <c r="D33" i="10"/>
  <c r="D34" i="10"/>
  <c r="F14" i="10"/>
  <c r="C24" i="10"/>
  <c r="C23" i="10"/>
  <c r="C25" i="10" s="1"/>
  <c r="D24" i="10"/>
  <c r="D23" i="10"/>
  <c r="D25" i="10" s="1"/>
  <c r="E22" i="10"/>
  <c r="G17" i="10"/>
  <c r="H12" i="10"/>
  <c r="G7" i="10"/>
  <c r="F8" i="10"/>
  <c r="F9" i="10"/>
  <c r="F27" i="10"/>
  <c r="G10" i="10"/>
  <c r="G13" i="10" s="1"/>
  <c r="F15" i="10"/>
  <c r="F19" i="10" s="1"/>
  <c r="E31" i="10"/>
  <c r="H5" i="10"/>
  <c r="C39" i="10"/>
  <c r="D35" i="10"/>
  <c r="E20" i="10"/>
  <c r="E24" i="9"/>
  <c r="E25" i="9"/>
  <c r="E20" i="9"/>
  <c r="F12" i="9"/>
  <c r="E14" i="9"/>
  <c r="E13" i="9"/>
  <c r="E15" i="9" s="1"/>
  <c r="F9" i="9"/>
  <c r="F8" i="9"/>
  <c r="G7" i="9"/>
  <c r="F10" i="9"/>
  <c r="F21" i="9"/>
  <c r="F23" i="9" s="1"/>
  <c r="G5" i="9"/>
  <c r="F13" i="12" l="1"/>
  <c r="F14" i="12"/>
  <c r="F31" i="12"/>
  <c r="F33" i="12" s="1"/>
  <c r="F14" i="11"/>
  <c r="E16" i="17"/>
  <c r="I5" i="12"/>
  <c r="H27" i="12"/>
  <c r="G31" i="12"/>
  <c r="H10" i="12"/>
  <c r="G17" i="9"/>
  <c r="G19" i="9" s="1"/>
  <c r="F20" i="9"/>
  <c r="H15" i="18"/>
  <c r="I10" i="18"/>
  <c r="H14" i="18"/>
  <c r="H13" i="18"/>
  <c r="I8" i="18"/>
  <c r="I9" i="18"/>
  <c r="H25" i="18"/>
  <c r="H24" i="18"/>
  <c r="I22" i="18"/>
  <c r="C43" i="12"/>
  <c r="E39" i="12"/>
  <c r="D41" i="12"/>
  <c r="D42" i="12"/>
  <c r="G20" i="12"/>
  <c r="E22" i="12"/>
  <c r="D23" i="12"/>
  <c r="D25" i="12" s="1"/>
  <c r="D24" i="12"/>
  <c r="G24" i="18"/>
  <c r="G25" i="18"/>
  <c r="E33" i="18"/>
  <c r="E32" i="18"/>
  <c r="E34" i="18" s="1"/>
  <c r="F30" i="18"/>
  <c r="G15" i="18"/>
  <c r="F18" i="18"/>
  <c r="F20" i="18" s="1"/>
  <c r="F19" i="18"/>
  <c r="F29" i="18"/>
  <c r="G26" i="18"/>
  <c r="H26" i="18" s="1"/>
  <c r="F28" i="18"/>
  <c r="E25" i="17"/>
  <c r="E24" i="17"/>
  <c r="E26" i="17" s="1"/>
  <c r="F20" i="17"/>
  <c r="F21" i="17"/>
  <c r="G15" i="17"/>
  <c r="G14" i="17"/>
  <c r="F9" i="17"/>
  <c r="F16" i="17" s="1"/>
  <c r="F10" i="17"/>
  <c r="G8" i="17"/>
  <c r="G18" i="17"/>
  <c r="C42" i="13"/>
  <c r="C41" i="13"/>
  <c r="D37" i="13"/>
  <c r="D38" i="13"/>
  <c r="G29" i="13"/>
  <c r="G30" i="13"/>
  <c r="E34" i="13"/>
  <c r="E33" i="13"/>
  <c r="D23" i="13"/>
  <c r="D25" i="13" s="1"/>
  <c r="E22" i="13"/>
  <c r="D24" i="13"/>
  <c r="G17" i="13"/>
  <c r="F18" i="13"/>
  <c r="F19" i="13"/>
  <c r="G13" i="13"/>
  <c r="G14" i="13"/>
  <c r="H12" i="13"/>
  <c r="G7" i="13"/>
  <c r="F8" i="13"/>
  <c r="F9" i="13"/>
  <c r="F31" i="13"/>
  <c r="H5" i="13"/>
  <c r="G15" i="13"/>
  <c r="F20" i="13"/>
  <c r="D39" i="13"/>
  <c r="C43" i="13"/>
  <c r="E35" i="13"/>
  <c r="F19" i="12"/>
  <c r="E37" i="12"/>
  <c r="E38" i="12"/>
  <c r="E34" i="12"/>
  <c r="E33" i="12"/>
  <c r="F34" i="12"/>
  <c r="D37" i="12"/>
  <c r="D38" i="12"/>
  <c r="G29" i="12"/>
  <c r="G30" i="12"/>
  <c r="H17" i="12"/>
  <c r="G13" i="12"/>
  <c r="G14" i="12"/>
  <c r="H12" i="12"/>
  <c r="G7" i="12"/>
  <c r="F8" i="12"/>
  <c r="F9" i="12"/>
  <c r="G15" i="12"/>
  <c r="G18" i="12" s="1"/>
  <c r="F35" i="12"/>
  <c r="G8" i="11"/>
  <c r="F18" i="11"/>
  <c r="F20" i="11" s="1"/>
  <c r="G24" i="11"/>
  <c r="G25" i="11"/>
  <c r="E32" i="11"/>
  <c r="E33" i="11"/>
  <c r="E28" i="11"/>
  <c r="E29" i="11"/>
  <c r="D32" i="11"/>
  <c r="D34" i="11" s="1"/>
  <c r="D33" i="11"/>
  <c r="F26" i="11"/>
  <c r="G26" i="11" s="1"/>
  <c r="H17" i="11"/>
  <c r="G13" i="11"/>
  <c r="G14" i="11"/>
  <c r="H12" i="11"/>
  <c r="I7" i="11"/>
  <c r="H10" i="11"/>
  <c r="F30" i="11"/>
  <c r="H22" i="11"/>
  <c r="H5" i="11"/>
  <c r="H8" i="11" s="1"/>
  <c r="G15" i="11"/>
  <c r="G18" i="11" s="1"/>
  <c r="F18" i="10"/>
  <c r="C42" i="10"/>
  <c r="C41" i="10"/>
  <c r="C43" i="10" s="1"/>
  <c r="F29" i="10"/>
  <c r="F30" i="10"/>
  <c r="E34" i="10"/>
  <c r="E33" i="10"/>
  <c r="D38" i="10"/>
  <c r="D37" i="10"/>
  <c r="G14" i="10"/>
  <c r="F22" i="10"/>
  <c r="E24" i="10"/>
  <c r="E23" i="10"/>
  <c r="E25" i="10" s="1"/>
  <c r="H17" i="10"/>
  <c r="I12" i="10"/>
  <c r="G8" i="10"/>
  <c r="G9" i="10"/>
  <c r="H7" i="10"/>
  <c r="G15" i="10"/>
  <c r="G18" i="10" s="1"/>
  <c r="I5" i="10"/>
  <c r="H27" i="10"/>
  <c r="H10" i="10"/>
  <c r="H14" i="10" s="1"/>
  <c r="E35" i="10"/>
  <c r="F20" i="10"/>
  <c r="F31" i="10"/>
  <c r="D39" i="10"/>
  <c r="G27" i="10"/>
  <c r="F24" i="9"/>
  <c r="F13" i="9"/>
  <c r="F15" i="9" s="1"/>
  <c r="F14" i="9"/>
  <c r="G12" i="9"/>
  <c r="G9" i="9"/>
  <c r="G8" i="9"/>
  <c r="G10" i="9"/>
  <c r="F25" i="9"/>
  <c r="G21" i="9"/>
  <c r="G23" i="9" s="1"/>
  <c r="G20" i="9" l="1"/>
  <c r="H31" i="12"/>
  <c r="H15" i="12"/>
  <c r="H18" i="12" s="1"/>
  <c r="I10" i="12"/>
  <c r="I31" i="12" s="1"/>
  <c r="H30" i="12"/>
  <c r="I27" i="12"/>
  <c r="H29" i="12"/>
  <c r="H28" i="18"/>
  <c r="I26" i="18"/>
  <c r="H30" i="18"/>
  <c r="H29" i="18"/>
  <c r="I13" i="18"/>
  <c r="I14" i="18"/>
  <c r="I24" i="18"/>
  <c r="I25" i="18"/>
  <c r="I15" i="18"/>
  <c r="H18" i="18"/>
  <c r="H20" i="18" s="1"/>
  <c r="H19" i="18"/>
  <c r="D43" i="12"/>
  <c r="F39" i="12"/>
  <c r="E41" i="12"/>
  <c r="E43" i="12" s="1"/>
  <c r="E42" i="12"/>
  <c r="F22" i="12"/>
  <c r="E24" i="12"/>
  <c r="E23" i="12"/>
  <c r="E25" i="12" s="1"/>
  <c r="G18" i="18"/>
  <c r="G20" i="18" s="1"/>
  <c r="G19" i="18"/>
  <c r="G28" i="18"/>
  <c r="G29" i="18"/>
  <c r="F32" i="18"/>
  <c r="F34" i="18" s="1"/>
  <c r="F33" i="18"/>
  <c r="G30" i="18"/>
  <c r="E34" i="11"/>
  <c r="G21" i="17"/>
  <c r="G20" i="17"/>
  <c r="F25" i="17"/>
  <c r="F24" i="17"/>
  <c r="F26" i="17" s="1"/>
  <c r="G10" i="17"/>
  <c r="G9" i="17"/>
  <c r="G16" i="17" s="1"/>
  <c r="F33" i="13"/>
  <c r="F34" i="13"/>
  <c r="E37" i="13"/>
  <c r="E38" i="13"/>
  <c r="D41" i="13"/>
  <c r="D43" i="13" s="1"/>
  <c r="D42" i="13"/>
  <c r="F22" i="13"/>
  <c r="E24" i="13"/>
  <c r="E23" i="13"/>
  <c r="E25" i="13" s="1"/>
  <c r="G18" i="13"/>
  <c r="G19" i="13"/>
  <c r="H17" i="13"/>
  <c r="I12" i="13"/>
  <c r="H14" i="13"/>
  <c r="G8" i="13"/>
  <c r="H7" i="13"/>
  <c r="G9" i="13"/>
  <c r="I5" i="13"/>
  <c r="H27" i="13"/>
  <c r="H13" i="13"/>
  <c r="G31" i="13"/>
  <c r="H31" i="13" s="1"/>
  <c r="I31" i="13" s="1"/>
  <c r="G20" i="13"/>
  <c r="F35" i="13"/>
  <c r="E39" i="13"/>
  <c r="G19" i="12"/>
  <c r="G34" i="12"/>
  <c r="G33" i="12"/>
  <c r="F38" i="12"/>
  <c r="F37" i="12"/>
  <c r="I17" i="12"/>
  <c r="H13" i="12"/>
  <c r="I12" i="12"/>
  <c r="H14" i="12"/>
  <c r="G8" i="12"/>
  <c r="G9" i="12"/>
  <c r="H7" i="12"/>
  <c r="G35" i="12"/>
  <c r="G19" i="11"/>
  <c r="H9" i="11"/>
  <c r="H24" i="11"/>
  <c r="H25" i="11"/>
  <c r="G29" i="11"/>
  <c r="G28" i="11"/>
  <c r="F32" i="11"/>
  <c r="F33" i="11"/>
  <c r="F28" i="11"/>
  <c r="F29" i="11"/>
  <c r="I17" i="11"/>
  <c r="H13" i="11"/>
  <c r="H14" i="11"/>
  <c r="I12" i="11"/>
  <c r="I10" i="11"/>
  <c r="G30" i="11"/>
  <c r="I22" i="11"/>
  <c r="H15" i="11"/>
  <c r="H18" i="11" s="1"/>
  <c r="G20" i="11"/>
  <c r="I5" i="11"/>
  <c r="I8" i="11" s="1"/>
  <c r="H26" i="11"/>
  <c r="H30" i="10"/>
  <c r="H29" i="10"/>
  <c r="H13" i="10"/>
  <c r="E37" i="10"/>
  <c r="E38" i="10"/>
  <c r="G29" i="10"/>
  <c r="G30" i="10"/>
  <c r="D41" i="10"/>
  <c r="D43" i="10" s="1"/>
  <c r="D42" i="10"/>
  <c r="F34" i="10"/>
  <c r="F33" i="10"/>
  <c r="G19" i="10"/>
  <c r="G22" i="10"/>
  <c r="F23" i="10"/>
  <c r="F25" i="10" s="1"/>
  <c r="F24" i="10"/>
  <c r="I17" i="10"/>
  <c r="H8" i="10"/>
  <c r="H9" i="10"/>
  <c r="I7" i="10"/>
  <c r="E39" i="10"/>
  <c r="I27" i="10"/>
  <c r="H31" i="10"/>
  <c r="G31" i="10"/>
  <c r="H15" i="10"/>
  <c r="H19" i="10" s="1"/>
  <c r="I10" i="10"/>
  <c r="I13" i="10" s="1"/>
  <c r="F35" i="10"/>
  <c r="G20" i="10"/>
  <c r="G24" i="9"/>
  <c r="G14" i="9"/>
  <c r="G13" i="9"/>
  <c r="G15" i="9" s="1"/>
  <c r="G25" i="9"/>
  <c r="H19" i="12" l="1"/>
  <c r="I29" i="12"/>
  <c r="I30" i="12"/>
  <c r="I33" i="12"/>
  <c r="I34" i="12"/>
  <c r="H20" i="12"/>
  <c r="I20" i="12" s="1"/>
  <c r="I15" i="12"/>
  <c r="I18" i="12" s="1"/>
  <c r="H33" i="12"/>
  <c r="H35" i="12"/>
  <c r="H34" i="12"/>
  <c r="I18" i="18"/>
  <c r="I20" i="18" s="1"/>
  <c r="I19" i="18"/>
  <c r="I30" i="18"/>
  <c r="H32" i="18"/>
  <c r="H34" i="18" s="1"/>
  <c r="H33" i="18"/>
  <c r="I28" i="18"/>
  <c r="I29" i="18"/>
  <c r="F42" i="12"/>
  <c r="F41" i="12"/>
  <c r="F43" i="12" s="1"/>
  <c r="G39" i="12"/>
  <c r="G22" i="12"/>
  <c r="F23" i="12"/>
  <c r="F25" i="12" s="1"/>
  <c r="F24" i="12"/>
  <c r="G32" i="18"/>
  <c r="G34" i="18" s="1"/>
  <c r="G33" i="18"/>
  <c r="I9" i="11"/>
  <c r="G25" i="17"/>
  <c r="G24" i="17"/>
  <c r="G26" i="17" s="1"/>
  <c r="H30" i="13"/>
  <c r="H29" i="13"/>
  <c r="F37" i="13"/>
  <c r="F38" i="13"/>
  <c r="G33" i="13"/>
  <c r="G34" i="13"/>
  <c r="E41" i="13"/>
  <c r="E43" i="13" s="1"/>
  <c r="E42" i="13"/>
  <c r="G22" i="13"/>
  <c r="F23" i="13"/>
  <c r="F25" i="13" s="1"/>
  <c r="F24" i="13"/>
  <c r="I17" i="13"/>
  <c r="H8" i="13"/>
  <c r="I7" i="13"/>
  <c r="H9" i="13"/>
  <c r="H15" i="13"/>
  <c r="H18" i="13" s="1"/>
  <c r="I10" i="13"/>
  <c r="I13" i="13" s="1"/>
  <c r="F39" i="13"/>
  <c r="G35" i="13"/>
  <c r="I27" i="13"/>
  <c r="G38" i="12"/>
  <c r="G37" i="12"/>
  <c r="I14" i="12"/>
  <c r="I13" i="12"/>
  <c r="H8" i="12"/>
  <c r="H9" i="12"/>
  <c r="I7" i="12"/>
  <c r="F34" i="11"/>
  <c r="H19" i="11"/>
  <c r="H28" i="11"/>
  <c r="H29" i="11"/>
  <c r="G32" i="11"/>
  <c r="G34" i="11" s="1"/>
  <c r="G33" i="11"/>
  <c r="I24" i="11"/>
  <c r="I25" i="11"/>
  <c r="I14" i="11"/>
  <c r="I13" i="11"/>
  <c r="H30" i="11"/>
  <c r="H20" i="11"/>
  <c r="I15" i="11"/>
  <c r="I18" i="11" s="1"/>
  <c r="I26" i="11"/>
  <c r="F37" i="10"/>
  <c r="F38" i="10"/>
  <c r="G33" i="10"/>
  <c r="G34" i="10"/>
  <c r="I29" i="10"/>
  <c r="I30" i="10"/>
  <c r="H33" i="10"/>
  <c r="H34" i="10"/>
  <c r="E41" i="10"/>
  <c r="E43" i="10" s="1"/>
  <c r="E42" i="10"/>
  <c r="I14" i="10"/>
  <c r="H18" i="10"/>
  <c r="G23" i="10"/>
  <c r="G25" i="10" s="1"/>
  <c r="G24" i="10"/>
  <c r="H22" i="10"/>
  <c r="I9" i="10"/>
  <c r="I8" i="10"/>
  <c r="H20" i="10"/>
  <c r="I15" i="10"/>
  <c r="I18" i="10" s="1"/>
  <c r="G35" i="10"/>
  <c r="F39" i="10"/>
  <c r="H35" i="10"/>
  <c r="I31" i="10"/>
  <c r="H39" i="12" l="1"/>
  <c r="H38" i="12"/>
  <c r="I35" i="12"/>
  <c r="H37" i="12"/>
  <c r="I19" i="12"/>
  <c r="I33" i="18"/>
  <c r="I32" i="18"/>
  <c r="I34" i="18" s="1"/>
  <c r="I14" i="13"/>
  <c r="H19" i="13"/>
  <c r="I19" i="10"/>
  <c r="G41" i="12"/>
  <c r="G43" i="12" s="1"/>
  <c r="G42" i="12"/>
  <c r="H22" i="12"/>
  <c r="G23" i="12"/>
  <c r="G25" i="12" s="1"/>
  <c r="G24" i="12"/>
  <c r="H33" i="13"/>
  <c r="H34" i="13"/>
  <c r="I29" i="13"/>
  <c r="I30" i="13"/>
  <c r="G38" i="13"/>
  <c r="G37" i="13"/>
  <c r="F41" i="13"/>
  <c r="F43" i="13" s="1"/>
  <c r="F42" i="13"/>
  <c r="G23" i="13"/>
  <c r="G25" i="13" s="1"/>
  <c r="H22" i="13"/>
  <c r="G24" i="13"/>
  <c r="I9" i="13"/>
  <c r="I8" i="13"/>
  <c r="H35" i="13"/>
  <c r="I15" i="13"/>
  <c r="I18" i="13" s="1"/>
  <c r="H20" i="13"/>
  <c r="G39" i="13"/>
  <c r="I9" i="12"/>
  <c r="I8" i="12"/>
  <c r="I19" i="11"/>
  <c r="H32" i="11"/>
  <c r="H34" i="11" s="1"/>
  <c r="H33" i="11"/>
  <c r="I28" i="11"/>
  <c r="I29" i="11"/>
  <c r="I20" i="11"/>
  <c r="I30" i="11"/>
  <c r="F41" i="10"/>
  <c r="F43" i="10" s="1"/>
  <c r="F42" i="10"/>
  <c r="G38" i="10"/>
  <c r="G37" i="10"/>
  <c r="I33" i="10"/>
  <c r="I34" i="10"/>
  <c r="H38" i="10"/>
  <c r="H37" i="10"/>
  <c r="H23" i="10"/>
  <c r="H25" i="10" s="1"/>
  <c r="H24" i="10"/>
  <c r="I22" i="10"/>
  <c r="I20" i="10"/>
  <c r="G39" i="10"/>
  <c r="I35" i="10"/>
  <c r="H39" i="10"/>
  <c r="I19" i="13" l="1"/>
  <c r="I38" i="12"/>
  <c r="I37" i="12"/>
  <c r="H42" i="12"/>
  <c r="H41" i="12"/>
  <c r="H43" i="12" s="1"/>
  <c r="I39" i="12"/>
  <c r="I22" i="12"/>
  <c r="H23" i="12"/>
  <c r="H25" i="12" s="1"/>
  <c r="H24" i="12"/>
  <c r="G41" i="13"/>
  <c r="G43" i="13" s="1"/>
  <c r="G42" i="13"/>
  <c r="H37" i="13"/>
  <c r="H38" i="13"/>
  <c r="I33" i="13"/>
  <c r="I34" i="13"/>
  <c r="H23" i="13"/>
  <c r="H25" i="13" s="1"/>
  <c r="H24" i="13"/>
  <c r="I22" i="13"/>
  <c r="I20" i="13"/>
  <c r="I35" i="13"/>
  <c r="H39" i="13"/>
  <c r="I33" i="11"/>
  <c r="I32" i="11"/>
  <c r="I34" i="11" s="1"/>
  <c r="I38" i="10"/>
  <c r="I37" i="10"/>
  <c r="G41" i="10"/>
  <c r="G43" i="10" s="1"/>
  <c r="G42" i="10"/>
  <c r="H41" i="10"/>
  <c r="H43" i="10" s="1"/>
  <c r="H42" i="10"/>
  <c r="I24" i="10"/>
  <c r="I23" i="10"/>
  <c r="I25" i="10" s="1"/>
  <c r="I39" i="10"/>
  <c r="I42" i="12" l="1"/>
  <c r="I41" i="12"/>
  <c r="I43" i="12" s="1"/>
  <c r="I24" i="12"/>
  <c r="I23" i="12"/>
  <c r="I25" i="12" s="1"/>
  <c r="I37" i="13"/>
  <c r="I38" i="13"/>
  <c r="H41" i="13"/>
  <c r="H43" i="13" s="1"/>
  <c r="H42" i="13"/>
  <c r="I24" i="13"/>
  <c r="I23" i="13"/>
  <c r="I25" i="13" s="1"/>
  <c r="I39" i="13"/>
  <c r="I42" i="10"/>
  <c r="I41" i="10"/>
  <c r="I43" i="10" s="1"/>
  <c r="I42" i="13" l="1"/>
  <c r="I41" i="13"/>
  <c r="I43" i="13"/>
  <c r="C9" i="7" l="1"/>
  <c r="C8" i="7"/>
  <c r="D33" i="7" l="1"/>
  <c r="C33" i="7"/>
  <c r="E33" i="7"/>
  <c r="F33" i="7"/>
  <c r="G33" i="7"/>
  <c r="H33" i="7"/>
  <c r="B33" i="7"/>
  <c r="C12" i="7"/>
  <c r="D12" i="7" s="1"/>
  <c r="E12" i="7" s="1"/>
  <c r="F12" i="7" s="1"/>
  <c r="G12" i="7" s="1"/>
  <c r="H12" i="7" s="1"/>
  <c r="D7" i="7"/>
  <c r="E7" i="7" s="1"/>
  <c r="F7" i="7" s="1"/>
  <c r="G7" i="7" s="1"/>
  <c r="H7" i="7" s="1"/>
  <c r="C9" i="2"/>
  <c r="C8" i="2"/>
  <c r="C22" i="2"/>
  <c r="D22" i="2" s="1"/>
  <c r="E22" i="2" s="1"/>
  <c r="F22" i="2" s="1"/>
  <c r="G22" i="2" s="1"/>
  <c r="H22" i="2" s="1"/>
  <c r="C17" i="2"/>
  <c r="D17" i="2" s="1"/>
  <c r="E17" i="2" s="1"/>
  <c r="F17" i="2" s="1"/>
  <c r="G17" i="2" s="1"/>
  <c r="H17" i="2" s="1"/>
  <c r="C12" i="2"/>
  <c r="D12" i="2" s="1"/>
  <c r="E12" i="2" s="1"/>
  <c r="F12" i="2" s="1"/>
  <c r="G12" i="2" s="1"/>
  <c r="H12" i="2" s="1"/>
  <c r="D7" i="2"/>
  <c r="E7" i="2" s="1"/>
  <c r="F7" i="2" s="1"/>
  <c r="G7" i="2" s="1"/>
  <c r="H7" i="2" s="1"/>
  <c r="H52" i="2" l="1"/>
  <c r="C51" i="2"/>
  <c r="E51" i="2"/>
  <c r="F51" i="2"/>
  <c r="G51" i="2"/>
  <c r="B51" i="2"/>
  <c r="H32" i="2"/>
  <c r="H36" i="2" s="1"/>
  <c r="H11" i="2"/>
  <c r="H16" i="2" s="1"/>
  <c r="H51" i="2" l="1"/>
  <c r="H40" i="2"/>
  <c r="H21" i="2"/>
  <c r="H22" i="7" l="1"/>
  <c r="H11" i="7"/>
  <c r="G22" i="7"/>
  <c r="F22" i="7"/>
  <c r="E22" i="7"/>
  <c r="D22" i="7"/>
  <c r="C22" i="7"/>
  <c r="C17" i="7"/>
  <c r="G11" i="7"/>
  <c r="F11" i="7"/>
  <c r="E11" i="7"/>
  <c r="D11" i="7"/>
  <c r="C11" i="7"/>
  <c r="D5" i="7"/>
  <c r="C19" i="7" l="1"/>
  <c r="C20" i="7"/>
  <c r="C14" i="7"/>
  <c r="C13" i="7"/>
  <c r="C15" i="7" s="1"/>
  <c r="D9" i="7"/>
  <c r="D8" i="7"/>
  <c r="I34" i="7"/>
  <c r="I33" i="7"/>
  <c r="E5" i="7"/>
  <c r="D10" i="7"/>
  <c r="D17" i="7"/>
  <c r="D19" i="7" l="1"/>
  <c r="D20" i="7"/>
  <c r="C23" i="7"/>
  <c r="C25" i="7" s="1"/>
  <c r="C24" i="7"/>
  <c r="D13" i="7"/>
  <c r="D15" i="7" s="1"/>
  <c r="D14" i="7"/>
  <c r="E8" i="7"/>
  <c r="E9" i="7"/>
  <c r="F5" i="7"/>
  <c r="D21" i="7"/>
  <c r="E17" i="7"/>
  <c r="E10" i="7"/>
  <c r="E19" i="7" l="1"/>
  <c r="E20" i="7"/>
  <c r="D23" i="7"/>
  <c r="D25" i="7" s="1"/>
  <c r="D24" i="7"/>
  <c r="F8" i="7"/>
  <c r="F9" i="7"/>
  <c r="E13" i="7"/>
  <c r="E15" i="7" s="1"/>
  <c r="E14" i="7"/>
  <c r="E21" i="7"/>
  <c r="F10" i="7"/>
  <c r="F17" i="7"/>
  <c r="G5" i="7"/>
  <c r="F19" i="7" l="1"/>
  <c r="F20" i="7"/>
  <c r="E23" i="7"/>
  <c r="E25" i="7" s="1"/>
  <c r="E24" i="7"/>
  <c r="G8" i="7"/>
  <c r="G9" i="7"/>
  <c r="F13" i="7"/>
  <c r="F15" i="7" s="1"/>
  <c r="F14" i="7"/>
  <c r="H5" i="7"/>
  <c r="H8" i="7" s="1"/>
  <c r="F21" i="7"/>
  <c r="G10" i="7"/>
  <c r="G17" i="7"/>
  <c r="G19" i="7" l="1"/>
  <c r="G20" i="7"/>
  <c r="F23" i="7"/>
  <c r="F25" i="7" s="1"/>
  <c r="F24" i="7"/>
  <c r="H9" i="7"/>
  <c r="G14" i="7"/>
  <c r="G13" i="7"/>
  <c r="G15" i="7" s="1"/>
  <c r="H17" i="7"/>
  <c r="H10" i="7"/>
  <c r="G21" i="7"/>
  <c r="H19" i="7" l="1"/>
  <c r="H20" i="7"/>
  <c r="H21" i="7"/>
  <c r="G23" i="7"/>
  <c r="G25" i="7" s="1"/>
  <c r="G24" i="7"/>
  <c r="H14" i="7"/>
  <c r="H13" i="7"/>
  <c r="H15" i="7" s="1"/>
  <c r="H23" i="7" l="1"/>
  <c r="H25" i="7" s="1"/>
  <c r="H24" i="7"/>
  <c r="C27" i="2"/>
  <c r="G11" i="2"/>
  <c r="G16" i="2" s="1"/>
  <c r="G21" i="2" s="1"/>
  <c r="G32" i="2" s="1"/>
  <c r="G36" i="2" s="1"/>
  <c r="G40" i="2" s="1"/>
  <c r="F11" i="2"/>
  <c r="F16" i="2" s="1"/>
  <c r="F21" i="2" s="1"/>
  <c r="F32" i="2" s="1"/>
  <c r="F36" i="2" s="1"/>
  <c r="F40" i="2" s="1"/>
  <c r="E11" i="2"/>
  <c r="E16" i="2" s="1"/>
  <c r="E21" i="2" s="1"/>
  <c r="E32" i="2" s="1"/>
  <c r="E36" i="2" s="1"/>
  <c r="E40" i="2" s="1"/>
  <c r="D11" i="2"/>
  <c r="D16" i="2" s="1"/>
  <c r="D21" i="2" s="1"/>
  <c r="D32" i="2" s="1"/>
  <c r="D36" i="2" s="1"/>
  <c r="D40" i="2" s="1"/>
  <c r="C11" i="2"/>
  <c r="C16" i="2" s="1"/>
  <c r="C21" i="2" s="1"/>
  <c r="C32" i="2" s="1"/>
  <c r="C36" i="2" s="1"/>
  <c r="C40" i="2" s="1"/>
  <c r="D5" i="2"/>
  <c r="C30" i="2" l="1"/>
  <c r="C29" i="2"/>
  <c r="D9" i="2"/>
  <c r="D8" i="2"/>
  <c r="C13" i="2"/>
  <c r="C14" i="2"/>
  <c r="E5" i="2"/>
  <c r="D10" i="2"/>
  <c r="C15" i="2"/>
  <c r="D27" i="2"/>
  <c r="D30" i="2" l="1"/>
  <c r="D29" i="2"/>
  <c r="D31" i="2"/>
  <c r="E31" i="2" s="1"/>
  <c r="C34" i="2"/>
  <c r="C33" i="2"/>
  <c r="E8" i="2"/>
  <c r="E9" i="2"/>
  <c r="C19" i="2"/>
  <c r="C18" i="2"/>
  <c r="D13" i="2"/>
  <c r="D14" i="2"/>
  <c r="F5" i="2"/>
  <c r="C35" i="2"/>
  <c r="E27" i="2"/>
  <c r="D15" i="2"/>
  <c r="C20" i="2"/>
  <c r="E10" i="2"/>
  <c r="E34" i="2" l="1"/>
  <c r="E33" i="2"/>
  <c r="C38" i="2"/>
  <c r="C37" i="2"/>
  <c r="E30" i="2"/>
  <c r="E29" i="2"/>
  <c r="D34" i="2"/>
  <c r="D33" i="2"/>
  <c r="D19" i="2"/>
  <c r="D18" i="2"/>
  <c r="E13" i="2"/>
  <c r="E14" i="2"/>
  <c r="C23" i="2"/>
  <c r="C24" i="2"/>
  <c r="G5" i="2"/>
  <c r="F9" i="2"/>
  <c r="F8" i="2"/>
  <c r="C39" i="2"/>
  <c r="D35" i="2"/>
  <c r="F31" i="2"/>
  <c r="F10" i="2"/>
  <c r="E15" i="2"/>
  <c r="F27" i="2"/>
  <c r="D20" i="2"/>
  <c r="F30" i="2" l="1"/>
  <c r="F29" i="2"/>
  <c r="D37" i="2"/>
  <c r="D38" i="2"/>
  <c r="F34" i="2"/>
  <c r="F33" i="2"/>
  <c r="D39" i="2"/>
  <c r="C42" i="2"/>
  <c r="C41" i="2"/>
  <c r="H5" i="2"/>
  <c r="G8" i="2"/>
  <c r="G9" i="2"/>
  <c r="D24" i="2"/>
  <c r="D23" i="2"/>
  <c r="E18" i="2"/>
  <c r="E19" i="2"/>
  <c r="F13" i="2"/>
  <c r="F14" i="2"/>
  <c r="C43" i="2"/>
  <c r="E35" i="2"/>
  <c r="F35" i="2" s="1"/>
  <c r="C25" i="2"/>
  <c r="E20" i="2"/>
  <c r="G31" i="2"/>
  <c r="G27" i="2"/>
  <c r="F15" i="2"/>
  <c r="G10" i="2"/>
  <c r="H31" i="2" l="1"/>
  <c r="G33" i="2"/>
  <c r="G34" i="2"/>
  <c r="F38" i="2"/>
  <c r="F37" i="2"/>
  <c r="D42" i="2"/>
  <c r="D41" i="2"/>
  <c r="D43" i="2" s="1"/>
  <c r="H27" i="2"/>
  <c r="G29" i="2"/>
  <c r="G30" i="2"/>
  <c r="E37" i="2"/>
  <c r="E38" i="2"/>
  <c r="E39" i="2"/>
  <c r="E23" i="2"/>
  <c r="E24" i="2"/>
  <c r="F18" i="2"/>
  <c r="F19" i="2"/>
  <c r="H10" i="2"/>
  <c r="G14" i="2"/>
  <c r="G13" i="2"/>
  <c r="H9" i="2"/>
  <c r="H8" i="2"/>
  <c r="D25" i="2"/>
  <c r="G15" i="2"/>
  <c r="G35" i="2"/>
  <c r="F20" i="2"/>
  <c r="E42" i="2" l="1"/>
  <c r="E41" i="2"/>
  <c r="E43" i="2" s="1"/>
  <c r="F39" i="2"/>
  <c r="G39" i="2" s="1"/>
  <c r="H29" i="2"/>
  <c r="H30" i="2"/>
  <c r="H35" i="2"/>
  <c r="G38" i="2"/>
  <c r="G37" i="2"/>
  <c r="H33" i="2"/>
  <c r="H34" i="2"/>
  <c r="H14" i="2"/>
  <c r="H13" i="2"/>
  <c r="H15" i="2"/>
  <c r="G19" i="2"/>
  <c r="G18" i="2"/>
  <c r="F23" i="2"/>
  <c r="F24" i="2"/>
  <c r="E25" i="2"/>
  <c r="G20" i="2"/>
  <c r="F41" i="2" l="1"/>
  <c r="F43" i="2" s="1"/>
  <c r="F42" i="2"/>
  <c r="H38" i="2"/>
  <c r="H37" i="2"/>
  <c r="H39" i="2"/>
  <c r="G41" i="2"/>
  <c r="G42" i="2"/>
  <c r="H20" i="2"/>
  <c r="H23" i="2" s="1"/>
  <c r="G24" i="2"/>
  <c r="G23" i="2"/>
  <c r="H19" i="2"/>
  <c r="H18" i="2"/>
  <c r="F25" i="2"/>
  <c r="H42" i="2" l="1"/>
  <c r="H41" i="2"/>
  <c r="H43" i="2" s="1"/>
  <c r="H24" i="2"/>
  <c r="H25" i="2"/>
  <c r="G43" i="2"/>
  <c r="G25" i="2"/>
</calcChain>
</file>

<file path=xl/sharedStrings.xml><?xml version="1.0" encoding="utf-8"?>
<sst xmlns="http://schemas.openxmlformats.org/spreadsheetml/2006/main" count="1416" uniqueCount="130">
  <si>
    <t>All India Candidates</t>
  </si>
  <si>
    <t>Year/Payment Options</t>
  </si>
  <si>
    <t>Heads</t>
  </si>
  <si>
    <t>Graduation % &gt;=95 or CAT/XAT %ile &gt;=85.01  or MAT/CMAT %ile &gt;=99</t>
  </si>
  <si>
    <t>Graduation % &gt;=90 and  &lt;95 or CAT/XAT %ile 80.01 - 85.00  or MAT/CMAT %ile 95.01 - 99</t>
  </si>
  <si>
    <t>Graduation % &gt;=85 and  &lt;90 or CAT/XAT %ile 75.01 - 80.00  or MAT/CMAT %ile 93.01 - 95</t>
  </si>
  <si>
    <t>Graduation % &gt;=80 and &lt;85 or CAT/XAT %ile 70.01 - 75  or MAT/CMAT %ile 90.01 - 93</t>
  </si>
  <si>
    <t>Graduation % &gt;=75 and &lt;80 or CAT/XAT %ile 65.01 - 70.00  or MAT/CMAT %ile 85 - 90</t>
  </si>
  <si>
    <t>Graduation % &gt;=70 and &lt;75 or CAT/XAT %ile 60 - 65.00</t>
  </si>
  <si>
    <t>10% Additional Scholarship on Net Tuition Fee for Girls Candidates</t>
  </si>
  <si>
    <t>Tuition Fee Per Semester</t>
  </si>
  <si>
    <t xml:space="preserve">Scholarship </t>
  </si>
  <si>
    <t>Tuition Fee per sem</t>
  </si>
  <si>
    <t>Total Fee (Per Year Installment)</t>
  </si>
  <si>
    <t>Uttarakhand/State Candidates</t>
  </si>
  <si>
    <t>Tuition Fee Per Semester (Inclusive of State Concession**)</t>
  </si>
  <si>
    <t>The below mentioned charges are the same for All India Candidates and State Candidates</t>
  </si>
  <si>
    <t>One Time Payable</t>
  </si>
  <si>
    <t>Admission Fee</t>
  </si>
  <si>
    <t>Enrolment Fee</t>
  </si>
  <si>
    <t>Caution Money (Refundable)</t>
  </si>
  <si>
    <t xml:space="preserve">Other Charges </t>
  </si>
  <si>
    <t>Examination Fee</t>
  </si>
  <si>
    <t>Library Fee</t>
  </si>
  <si>
    <t>Insurance Fee (per year)</t>
  </si>
  <si>
    <t>Students Welfare Fee</t>
  </si>
  <si>
    <t>Sport Fee</t>
  </si>
  <si>
    <t>Online Student Information</t>
  </si>
  <si>
    <t>PDP</t>
  </si>
  <si>
    <t xml:space="preserve">Total </t>
  </si>
  <si>
    <t xml:space="preserve">Yearly Payment </t>
  </si>
  <si>
    <t xml:space="preserve">Half Yearly Payment </t>
  </si>
  <si>
    <t>Scholarship for Wards of Defence personnel: 5%</t>
  </si>
  <si>
    <t>(12th PCM %)
&gt;=95 OR JEE Mains Percentile &gt;=99</t>
  </si>
  <si>
    <t>(12th  PCM %)
&gt;=90
&lt;95 OR JEE Mains Percentile &gt;=98.5&lt;99</t>
  </si>
  <si>
    <t>(12th  PCM %)
&gt;=85
&lt;90 OR JEE Mains Percentile &gt;=97&lt;98.5</t>
  </si>
  <si>
    <t>(12th  PCM %)
&gt;=80
&lt;85 OR JEE Mains Percentile &gt;=94&lt;97</t>
  </si>
  <si>
    <t>(12th  PCM %) &gt;=75
&lt;80 OR JEE Mains Percentile &lt;94</t>
  </si>
  <si>
    <r>
      <t>1</t>
    </r>
    <r>
      <rPr>
        <b/>
        <vertAlign val="superscript"/>
        <sz val="9"/>
        <color theme="1"/>
        <rFont val="Roboto"/>
      </rPr>
      <t>st</t>
    </r>
    <r>
      <rPr>
        <b/>
        <sz val="9"/>
        <color theme="1"/>
        <rFont val="Roboto"/>
      </rPr>
      <t xml:space="preserve"> Year
Payment Options</t>
    </r>
  </si>
  <si>
    <r>
      <t>2</t>
    </r>
    <r>
      <rPr>
        <b/>
        <vertAlign val="superscript"/>
        <sz val="9"/>
        <color theme="1"/>
        <rFont val="Roboto"/>
      </rPr>
      <t>nd</t>
    </r>
    <r>
      <rPr>
        <b/>
        <sz val="9"/>
        <color theme="1"/>
        <rFont val="Roboto"/>
      </rPr>
      <t xml:space="preserve"> Year
Payment Options</t>
    </r>
  </si>
  <si>
    <r>
      <t>3</t>
    </r>
    <r>
      <rPr>
        <b/>
        <vertAlign val="superscript"/>
        <sz val="9"/>
        <color theme="1"/>
        <rFont val="Roboto"/>
      </rPr>
      <t>rd</t>
    </r>
    <r>
      <rPr>
        <b/>
        <sz val="9"/>
        <color theme="1"/>
        <rFont val="Roboto"/>
      </rPr>
      <t xml:space="preserve"> Year
Payment Options</t>
    </r>
  </si>
  <si>
    <r>
      <t>4</t>
    </r>
    <r>
      <rPr>
        <b/>
        <vertAlign val="superscript"/>
        <sz val="9"/>
        <color theme="1"/>
        <rFont val="Roboto"/>
      </rPr>
      <t>th</t>
    </r>
    <r>
      <rPr>
        <b/>
        <sz val="9"/>
        <color theme="1"/>
        <rFont val="Roboto"/>
      </rPr>
      <t xml:space="preserve"> Year
Payment Options</t>
    </r>
  </si>
  <si>
    <t>(12th  PCM %) &gt;=70
&lt;75 OR JEE Mains Percentile &lt;94</t>
  </si>
  <si>
    <t>*State Concession is a Special Fee Concession applicable to candidates from the Hilly States of India on the basis of merit. A student carrying a domicile from these states/or who has completed his 10th &amp; 12th from these states is eligible for this consession - the states included in this list are: Uttarakhand, Himachal Pradesh, Jammu Kashmir, Sikkim, Arunachal Pradesh, Manipur, Assam, Meghalaya, Mizoram, Tripura and Arunachal Pradesh.</t>
  </si>
  <si>
    <r>
      <t>Diversity Scholarship</t>
    </r>
    <r>
      <rPr>
        <b/>
        <vertAlign val="superscript"/>
        <sz val="9"/>
        <color theme="1"/>
        <rFont val="Roboto"/>
      </rPr>
      <t>#</t>
    </r>
  </si>
  <si>
    <t>#10% seats of All India quota are reserved for diversity scholarship having  70% and above in 12th</t>
  </si>
  <si>
    <t>*50% seats are reserved for Uttarakhand candidates, state concession on tuition fee will be applicable on these 50% seats only.</t>
  </si>
  <si>
    <t>Yearly Payment  (5% Discount)</t>
  </si>
  <si>
    <t>Half Yearly Payment</t>
  </si>
  <si>
    <t>(12th  PCM %)
&gt;=75
&lt;80 OR JEE Mains Percentile &gt;=90&lt;94</t>
  </si>
  <si>
    <t>( 12th PCM %)
&gt;=70&lt;75 OR JEE Mains Percentile &gt;=85&lt;90</t>
  </si>
  <si>
    <t>(12th PCM %)
&gt;=65 &amp; &lt;70</t>
  </si>
  <si>
    <t>Graduation % &gt;=80</t>
  </si>
  <si>
    <t>Graduation % &gt;=75 and  &lt;80</t>
  </si>
  <si>
    <t>Graduation % &gt;=70 and  &lt;75</t>
  </si>
  <si>
    <t>Graduation % &gt;=70 and &lt;65</t>
  </si>
  <si>
    <t>Graduation % &gt;=60 and &lt;65</t>
  </si>
  <si>
    <t>(12th PCB %) &gt;=95</t>
  </si>
  <si>
    <t>(12th  PCB %)
&gt;=90 &amp;
&lt;95</t>
  </si>
  <si>
    <t>(12th  PCB %)
&gt;=85 &amp;
&lt;90</t>
  </si>
  <si>
    <t>(12th  PCB %)
&gt;=80 &amp;
&lt;85</t>
  </si>
  <si>
    <t xml:space="preserve">(12th  PCB %)
&gt;= 75 &amp; &lt;80 </t>
  </si>
  <si>
    <t xml:space="preserve">(12th  PCB %)
&gt;=70&lt;75 </t>
  </si>
  <si>
    <t>(12th PCB %)
&gt;=65 &amp; &lt;70</t>
  </si>
  <si>
    <t>(12th Agg. %) &gt;=95</t>
  </si>
  <si>
    <t>(12th  Agg. %) &gt;=90 and &lt;95</t>
  </si>
  <si>
    <t>(12th  Agg. %) &gt;=85 and &lt;90</t>
  </si>
  <si>
    <t>(12th  Agg. %) &gt;=80 and &lt;85</t>
  </si>
  <si>
    <t>(12th Agg. %) &gt;=75 and &lt;80</t>
  </si>
  <si>
    <t>(12th Agg. %)&gt;=70 &amp; &lt;75</t>
  </si>
  <si>
    <t>(12th Agg. %)&gt;=65 &amp; &lt;70</t>
  </si>
  <si>
    <t>* An additional fee of Rs. 10000/- per sem is applicable per semester from 3rd semester onwards.</t>
  </si>
  <si>
    <t>* An additional fee of Rs. 22000/- is applicable per semester from 1st semester onwards for ACCA.</t>
  </si>
  <si>
    <t>#Diversity scholarship for candidates having 60% - 64.99% in 12th will be Rs. 9000 per sem</t>
  </si>
  <si>
    <t>Rs. 5000/- sem for first 2 semesters is applicable for bridge course</t>
  </si>
  <si>
    <t xml:space="preserve">Sem </t>
  </si>
  <si>
    <t>Tuition Fee Per Semester
(Inclusive of State Concession**)</t>
  </si>
  <si>
    <t>2nd Year
Payment Options</t>
  </si>
  <si>
    <t xml:space="preserve"> 3rd Year
Payment Options</t>
  </si>
  <si>
    <t>25%  of all seats are available for scholarship, schorlarship will be given on first come first serve basis.</t>
  </si>
  <si>
    <t>#Diversity scholarship for candidates having 60% - 69.99% in 12th will be Rs. 10500 per sem</t>
  </si>
  <si>
    <t>#Diversity scholarship for candidates having 60% - 64.99% in 12th will be Rs. 13500 per sem</t>
  </si>
  <si>
    <t>#Diversity scholarship for candidates having 60% - 64.99% in 12th will be Rs. 11000 per sem</t>
  </si>
  <si>
    <t>#Diversity scholarship for candidates having 60% - 64.99% in 12th will be Rs. 9500 per sem</t>
  </si>
  <si>
    <t>#Diversity scholarship for candidates having 60% - 64.99% in 12th will be Rs. 7500 per sem</t>
  </si>
  <si>
    <t>#Diversity scholarship for candidates having 60% - 64.99% in 12th will be Rs. 5000 per sem</t>
  </si>
  <si>
    <t xml:space="preserve">#Diversity scholarship for candidates having 60% - 69.99% in 12th will be Rs. 15500 per sem								</t>
  </si>
  <si>
    <t>B.Tech in Civil Engineering</t>
  </si>
  <si>
    <t>B.Tech in Electronics and Communication Engineering</t>
  </si>
  <si>
    <t>Bachelor of Business Administration</t>
  </si>
  <si>
    <t>Master of Business Administration</t>
  </si>
  <si>
    <t>Bachelor of Science in Nursing</t>
  </si>
  <si>
    <t>B.Tech Computer Science &amp; Engineering</t>
  </si>
  <si>
    <t>B.Tech Mechanical Engineering</t>
  </si>
  <si>
    <t>Bachelor of Business Administration (Hons.)</t>
  </si>
  <si>
    <t>Bachelor of Business Administration (Hons.) in International Finance And Accounting With ACCA</t>
  </si>
  <si>
    <t>Bachelor of Commerce (Hons.) International Finance and Accounting with ACCA, UK</t>
  </si>
  <si>
    <t xml:space="preserve">Fee Structure Applicable for Intake 2025
BBA (Hons.) International Finance and Accounting With ACCA
</t>
  </si>
  <si>
    <t xml:space="preserve">Fee Structure Applicable for Intake 2025
B.Sc. Nursing     
</t>
  </si>
  <si>
    <t xml:space="preserve">Fee Structure Applicable for Intake 2025
B.Tech CSE ||B.Tech CSE (Hons.) with specialization in Cyber Security ||B.Tech CSE (Hons.) with specialization in Artificial Intelligence and Machine Learning
</t>
  </si>
  <si>
    <t xml:space="preserve">Fee Structure Applicable for Intake 2025
B.Tech in Civil Engineering ||B.Tech Civil Engineering (Hons.) with specialization in Environmental Engineering ||B.Tech Civil Engineering (Hons.) with specialization in Geoinformatics
</t>
  </si>
  <si>
    <t xml:space="preserve">Fee Structure Applicable for Intake 2025
B.Tech in ECE || B.Tech ECE (Hons.) with specialization in Drone Technology || B.Tech ECE (Hons.) with specialization in VLSI
</t>
  </si>
  <si>
    <t xml:space="preserve">Fee Structure Applicable for Intake 2025
BBA
</t>
  </si>
  <si>
    <t xml:space="preserve">Fee Structure Applicable for Intake 2025
BBA (Hons.)
</t>
  </si>
  <si>
    <t xml:space="preserve">Fee Structure Applicable for Intake 2025
B.Com. (Hons.) International Finance and Accounting with ACCA, UK
</t>
  </si>
  <si>
    <t>Bachelor of Commerce</t>
  </si>
  <si>
    <t xml:space="preserve">Fee Structure Applicable for Intake 2025                                                                                                                                                                                                                                                                                                                                                                                                     B.Com.
</t>
  </si>
  <si>
    <t>Bachelor of Commerce (Hons.)</t>
  </si>
  <si>
    <t>Fee Structure Applicable for Intake 2025
B.Com. (Hons.)</t>
  </si>
  <si>
    <t>M.Tech Mecanical Engineering</t>
  </si>
  <si>
    <t>Fee Structure Applicable for Intake 2025
M.Tech  ME</t>
  </si>
  <si>
    <t xml:space="preserve">Fee Structure Applicable for Intake 2025
B.Tech ME ||B.Tech ME (Hons.) with specialization in Electric Vehicle ||B.Tech ME (Hons.) with specialization in Mechatronics
</t>
  </si>
  <si>
    <t>Diploma in Computer Science &amp; Engineering</t>
  </si>
  <si>
    <t xml:space="preserve">Fee Structure Applicable for Intake 2025
Diploma in CSE
</t>
  </si>
  <si>
    <t>All India Candidates/Uttarakhand/State Candidates</t>
  </si>
  <si>
    <t>Diploma in Mechanical Engineering</t>
  </si>
  <si>
    <t xml:space="preserve">Fee Structure Applicable for Intake 2025
Diploma in ME
</t>
  </si>
  <si>
    <t>Diploma in Civil Engineering</t>
  </si>
  <si>
    <t xml:space="preserve">Fee Structure Applicable for Intake 2025
Diploma in Civil
</t>
  </si>
  <si>
    <t>Bachelor of Pharmacy</t>
  </si>
  <si>
    <t>Fee Structure Applicable for Intake 2025
B.Pharma</t>
  </si>
  <si>
    <t>Bachelor of Computer Applications (Hons.) with Artificial Intelligence and Data Science</t>
  </si>
  <si>
    <t>Fee Structure Applicable for Intake 2025
BCA (Hons.) with AI and DS</t>
  </si>
  <si>
    <t>Bachelor of Science in Information Technology</t>
  </si>
  <si>
    <t>Fee Structure Applicable for Intake 2025
B.Sc. IT</t>
  </si>
  <si>
    <t>Bachelor of Computer Applications</t>
  </si>
  <si>
    <t>Fee Structure Applicable for Intake 2025
BCA</t>
  </si>
  <si>
    <t>Master of Computer Applications</t>
  </si>
  <si>
    <t>Fee Structure Applicable for Intake 2025
MCA</t>
  </si>
  <si>
    <t>Fee Structure Applicable for Intake 2025
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</si>
</sst>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Roboto"/>
    </font>
    <font>
      <b/>
      <sz val="10"/>
      <color theme="1"/>
      <name val="Roboto"/>
    </font>
    <font>
      <b/>
      <sz val="9"/>
      <color theme="1"/>
      <name val="Roboto"/>
    </font>
    <font>
      <b/>
      <vertAlign val="superscript"/>
      <sz val="9"/>
      <color theme="1"/>
      <name val="Roboto"/>
    </font>
    <font>
      <sz val="9"/>
      <color theme="1"/>
      <name val="Roboto"/>
    </font>
    <font>
      <b/>
      <sz val="14"/>
      <color theme="1"/>
      <name val="Calibri"/>
      <family val="2"/>
      <scheme val="minor"/>
    </font>
    <font>
      <sz val="9"/>
      <color rgb="FF000000"/>
      <name val="Roboto"/>
    </font>
    <font>
      <sz val="9"/>
      <color rgb="FF000000"/>
      <name val="Roboto"/>
    </font>
    <font>
      <b/>
      <sz val="10"/>
      <color rgb="FF000000"/>
      <name val="Roboto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EEE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2C2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6" fillId="4" borderId="11" xfId="0" applyFont="1" applyFill="1" applyBorder="1" applyAlignment="1">
      <alignment horizontal="left" vertical="center"/>
    </xf>
    <xf numFmtId="1" fontId="6" fillId="4" borderId="13" xfId="0" applyNumberFormat="1" applyFont="1" applyFill="1" applyBorder="1" applyAlignment="1">
      <alignment horizontal="center" vertical="center"/>
    </xf>
    <xf numFmtId="1" fontId="6" fillId="4" borderId="14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4" borderId="13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4" fillId="5" borderId="20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3" fontId="4" fillId="5" borderId="8" xfId="0" applyNumberFormat="1" applyFont="1" applyFill="1" applyBorder="1" applyAlignment="1">
      <alignment horizontal="center" vertical="center" wrapText="1"/>
    </xf>
    <xf numFmtId="3" fontId="4" fillId="5" borderId="21" xfId="0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" fontId="0" fillId="0" borderId="0" xfId="0" applyNumberFormat="1"/>
    <xf numFmtId="0" fontId="4" fillId="5" borderId="13" xfId="0" applyFont="1" applyFill="1" applyBorder="1" applyAlignment="1">
      <alignment horizontal="center" vertical="center" wrapText="1"/>
    </xf>
    <xf numFmtId="3" fontId="4" fillId="5" borderId="13" xfId="0" applyNumberFormat="1" applyFont="1" applyFill="1" applyBorder="1" applyAlignment="1">
      <alignment horizontal="center" vertical="center" wrapText="1"/>
    </xf>
    <xf numFmtId="3" fontId="6" fillId="4" borderId="13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left" vertical="center"/>
    </xf>
    <xf numFmtId="1" fontId="4" fillId="9" borderId="14" xfId="0" applyNumberFormat="1" applyFont="1" applyFill="1" applyBorder="1" applyAlignment="1">
      <alignment horizontal="center" vertical="center"/>
    </xf>
    <xf numFmtId="1" fontId="4" fillId="10" borderId="14" xfId="0" applyNumberFormat="1" applyFont="1" applyFill="1" applyBorder="1" applyAlignment="1">
      <alignment horizontal="center" vertical="center"/>
    </xf>
    <xf numFmtId="1" fontId="4" fillId="11" borderId="14" xfId="0" applyNumberFormat="1" applyFont="1" applyFill="1" applyBorder="1" applyAlignment="1">
      <alignment horizontal="center" vertical="center"/>
    </xf>
    <xf numFmtId="1" fontId="6" fillId="4" borderId="13" xfId="0" applyNumberFormat="1" applyFont="1" applyFill="1" applyBorder="1" applyAlignment="1">
      <alignment horizontal="left" vertical="center"/>
    </xf>
    <xf numFmtId="1" fontId="4" fillId="9" borderId="14" xfId="0" applyNumberFormat="1" applyFont="1" applyFill="1" applyBorder="1" applyAlignment="1">
      <alignment horizontal="left" vertical="center"/>
    </xf>
    <xf numFmtId="1" fontId="4" fillId="10" borderId="14" xfId="0" applyNumberFormat="1" applyFont="1" applyFill="1" applyBorder="1" applyAlignment="1">
      <alignment horizontal="left" vertical="center"/>
    </xf>
    <xf numFmtId="1" fontId="4" fillId="11" borderId="14" xfId="0" applyNumberFormat="1" applyFont="1" applyFill="1" applyBorder="1" applyAlignment="1">
      <alignment horizontal="left" vertical="center"/>
    </xf>
    <xf numFmtId="0" fontId="4" fillId="10" borderId="13" xfId="0" applyFont="1" applyFill="1" applyBorder="1" applyAlignment="1">
      <alignment horizontal="left" vertical="center"/>
    </xf>
    <xf numFmtId="0" fontId="4" fillId="11" borderId="13" xfId="0" applyFont="1" applyFill="1" applyBorder="1" applyAlignment="1">
      <alignment horizontal="left" vertical="center"/>
    </xf>
    <xf numFmtId="0" fontId="4" fillId="9" borderId="13" xfId="0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3" fontId="8" fillId="12" borderId="13" xfId="0" applyNumberFormat="1" applyFon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3" fontId="6" fillId="4" borderId="12" xfId="0" applyNumberFormat="1" applyFont="1" applyFill="1" applyBorder="1" applyAlignment="1">
      <alignment horizontal="center" vertical="center"/>
    </xf>
    <xf numFmtId="1" fontId="6" fillId="4" borderId="11" xfId="0" applyNumberFormat="1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1" fontId="9" fillId="13" borderId="13" xfId="0" applyNumberFormat="1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1" fontId="4" fillId="5" borderId="13" xfId="0" applyNumberFormat="1" applyFont="1" applyFill="1" applyBorder="1" applyAlignment="1">
      <alignment horizontal="center" vertical="center"/>
    </xf>
    <xf numFmtId="0" fontId="12" fillId="0" borderId="0" xfId="0" applyFont="1"/>
    <xf numFmtId="0" fontId="6" fillId="4" borderId="13" xfId="0" applyFont="1" applyFill="1" applyBorder="1" applyAlignment="1">
      <alignment horizontal="left" vertical="center" wrapText="1"/>
    </xf>
    <xf numFmtId="1" fontId="4" fillId="8" borderId="13" xfId="0" applyNumberFormat="1" applyFont="1" applyFill="1" applyBorder="1" applyAlignment="1">
      <alignment horizontal="left" vertical="center"/>
    </xf>
    <xf numFmtId="1" fontId="4" fillId="8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6" fillId="0" borderId="13" xfId="0" applyFont="1" applyBorder="1" applyAlignment="1">
      <alignment horizontal="center" vertical="center"/>
    </xf>
    <xf numFmtId="1" fontId="4" fillId="9" borderId="13" xfId="0" applyNumberFormat="1" applyFont="1" applyFill="1" applyBorder="1" applyAlignment="1">
      <alignment horizontal="left" vertical="center"/>
    </xf>
    <xf numFmtId="1" fontId="4" fillId="9" borderId="13" xfId="0" applyNumberFormat="1" applyFont="1" applyFill="1" applyBorder="1" applyAlignment="1">
      <alignment horizontal="center" vertical="center"/>
    </xf>
    <xf numFmtId="1" fontId="4" fillId="10" borderId="13" xfId="0" applyNumberFormat="1" applyFont="1" applyFill="1" applyBorder="1" applyAlignment="1">
      <alignment horizontal="left" vertical="center"/>
    </xf>
    <xf numFmtId="1" fontId="4" fillId="10" borderId="13" xfId="0" applyNumberFormat="1" applyFont="1" applyFill="1" applyBorder="1" applyAlignment="1">
      <alignment horizontal="center" vertical="center"/>
    </xf>
    <xf numFmtId="1" fontId="4" fillId="11" borderId="13" xfId="0" applyNumberFormat="1" applyFont="1" applyFill="1" applyBorder="1" applyAlignment="1">
      <alignment horizontal="left" vertical="center"/>
    </xf>
    <xf numFmtId="1" fontId="4" fillId="11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left" vertical="center"/>
    </xf>
    <xf numFmtId="1" fontId="4" fillId="4" borderId="13" xfId="0" applyNumberFormat="1" applyFont="1" applyFill="1" applyBorder="1" applyAlignment="1">
      <alignment horizontal="center" vertical="center"/>
    </xf>
    <xf numFmtId="0" fontId="0" fillId="0" borderId="14" xfId="0" applyBorder="1"/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11" fillId="0" borderId="14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14" xfId="0" applyFont="1" applyBorder="1" applyAlignment="1">
      <alignment horizontal="center" wrapText="1"/>
    </xf>
    <xf numFmtId="0" fontId="11" fillId="0" borderId="26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left" vertical="center"/>
    </xf>
    <xf numFmtId="0" fontId="11" fillId="0" borderId="2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6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0" fillId="0" borderId="26" xfId="0" applyBorder="1" applyAlignment="1">
      <alignment horizontal="center"/>
    </xf>
    <xf numFmtId="0" fontId="11" fillId="0" borderId="14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3" fillId="0" borderId="14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0" fillId="0" borderId="23" xfId="0" applyFont="1" applyBorder="1" applyAlignment="1">
      <alignment horizontal="left" vertical="center"/>
    </xf>
    <xf numFmtId="0" fontId="4" fillId="4" borderId="2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4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13" xfId="0" applyFont="1" applyBorder="1" applyAlignment="1">
      <alignment horizontal="left" vertical="center"/>
    </xf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8"/>
  <sheetViews>
    <sheetView tabSelected="1" zoomScale="73" zoomScaleNormal="62" workbookViewId="0">
      <selection activeCell="A4" sqref="A4:H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24" x14ac:dyDescent="0.45">
      <c r="A1" s="71" t="s">
        <v>92</v>
      </c>
      <c r="B1" s="71"/>
      <c r="C1" s="71"/>
      <c r="D1" s="71"/>
      <c r="E1" s="71"/>
      <c r="F1" s="71"/>
      <c r="G1" s="71"/>
      <c r="H1" s="71"/>
    </row>
    <row r="2" spans="1:24" ht="69" customHeight="1" x14ac:dyDescent="0.45">
      <c r="A2" s="72" t="s">
        <v>99</v>
      </c>
      <c r="B2" s="71"/>
      <c r="C2" s="71"/>
      <c r="D2" s="71"/>
      <c r="E2" s="71"/>
      <c r="F2" s="71"/>
      <c r="G2" s="71"/>
      <c r="H2" s="71"/>
    </row>
    <row r="3" spans="1:24" ht="64.3" x14ac:dyDescent="0.45">
      <c r="A3" s="43" t="s">
        <v>1</v>
      </c>
      <c r="B3" s="44" t="s">
        <v>2</v>
      </c>
      <c r="C3" s="43" t="s">
        <v>33</v>
      </c>
      <c r="D3" s="43" t="s">
        <v>34</v>
      </c>
      <c r="E3" s="43" t="s">
        <v>35</v>
      </c>
      <c r="F3" s="43" t="s">
        <v>36</v>
      </c>
      <c r="G3" s="43" t="s">
        <v>37</v>
      </c>
      <c r="H3" s="43" t="s">
        <v>42</v>
      </c>
    </row>
    <row r="4" spans="1:24" ht="15.9" customHeight="1" x14ac:dyDescent="0.45">
      <c r="A4" s="84" t="s">
        <v>0</v>
      </c>
      <c r="B4" s="84"/>
      <c r="C4" s="84"/>
      <c r="D4" s="84"/>
      <c r="E4" s="84"/>
      <c r="F4" s="84"/>
      <c r="G4" s="84"/>
      <c r="H4" s="84"/>
    </row>
    <row r="5" spans="1:24" x14ac:dyDescent="0.45">
      <c r="A5" s="81" t="s">
        <v>38</v>
      </c>
      <c r="B5" s="27" t="s">
        <v>10</v>
      </c>
      <c r="C5" s="2">
        <v>124100</v>
      </c>
      <c r="D5" s="2">
        <f>C5</f>
        <v>124100</v>
      </c>
      <c r="E5" s="2">
        <f t="shared" ref="E5:H5" si="0">D5</f>
        <v>124100</v>
      </c>
      <c r="F5" s="2">
        <f t="shared" si="0"/>
        <v>124100</v>
      </c>
      <c r="G5" s="2">
        <f t="shared" si="0"/>
        <v>124100</v>
      </c>
      <c r="H5" s="2">
        <f t="shared" si="0"/>
        <v>124100</v>
      </c>
      <c r="I5" s="19"/>
      <c r="J5" s="19"/>
      <c r="K5" s="19"/>
      <c r="L5" s="19"/>
      <c r="M5" s="19"/>
    </row>
    <row r="6" spans="1:24" x14ac:dyDescent="0.45">
      <c r="A6" s="82"/>
      <c r="B6" s="27" t="s">
        <v>11</v>
      </c>
      <c r="C6" s="2">
        <v>28000</v>
      </c>
      <c r="D6" s="2">
        <v>24800</v>
      </c>
      <c r="E6" s="2">
        <v>21700</v>
      </c>
      <c r="F6" s="2">
        <v>18500</v>
      </c>
      <c r="G6" s="2">
        <v>15500</v>
      </c>
      <c r="H6" s="2">
        <v>12200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45">
      <c r="A7" s="82"/>
      <c r="B7" s="54" t="s">
        <v>44</v>
      </c>
      <c r="C7" s="55">
        <v>15500</v>
      </c>
      <c r="D7" s="55">
        <f>C7</f>
        <v>15500</v>
      </c>
      <c r="E7" s="55">
        <f t="shared" ref="E7:H7" si="1">D7</f>
        <v>15500</v>
      </c>
      <c r="F7" s="55">
        <f t="shared" si="1"/>
        <v>15500</v>
      </c>
      <c r="G7" s="55">
        <f t="shared" si="1"/>
        <v>15500</v>
      </c>
      <c r="H7" s="55">
        <f t="shared" si="1"/>
        <v>15500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45">
      <c r="A8" s="82"/>
      <c r="B8" s="54" t="s">
        <v>47</v>
      </c>
      <c r="C8" s="55">
        <f>(((C5-C6)*0.95)*2)-C7*2</f>
        <v>151590</v>
      </c>
      <c r="D8" s="55">
        <f t="shared" ref="D8:H8" si="2">(((D5-D6)*0.95)*2)-D7*2</f>
        <v>157670</v>
      </c>
      <c r="E8" s="55">
        <f t="shared" si="2"/>
        <v>163560</v>
      </c>
      <c r="F8" s="55">
        <f t="shared" si="2"/>
        <v>169640</v>
      </c>
      <c r="G8" s="55">
        <f t="shared" si="2"/>
        <v>175340</v>
      </c>
      <c r="H8" s="55">
        <f t="shared" si="2"/>
        <v>181610</v>
      </c>
      <c r="I8" s="19"/>
      <c r="J8" s="19"/>
      <c r="K8" s="19"/>
      <c r="L8" s="19"/>
      <c r="M8" s="19"/>
    </row>
    <row r="9" spans="1:24" x14ac:dyDescent="0.45">
      <c r="A9" s="82"/>
      <c r="B9" s="54" t="s">
        <v>48</v>
      </c>
      <c r="C9" s="55">
        <f>(C5-C6)-C7</f>
        <v>80600</v>
      </c>
      <c r="D9" s="55">
        <f t="shared" ref="D9:H9" si="3">(D5-D6)-D7</f>
        <v>83800</v>
      </c>
      <c r="E9" s="55">
        <f t="shared" si="3"/>
        <v>86900</v>
      </c>
      <c r="F9" s="55">
        <f t="shared" si="3"/>
        <v>90100</v>
      </c>
      <c r="G9" s="55">
        <f t="shared" si="3"/>
        <v>93100</v>
      </c>
      <c r="H9" s="55">
        <f t="shared" si="3"/>
        <v>96400</v>
      </c>
      <c r="I9" s="19"/>
      <c r="J9" s="19"/>
      <c r="K9" s="19"/>
      <c r="L9" s="19"/>
      <c r="M9" s="19"/>
    </row>
    <row r="10" spans="1:24" ht="16" customHeight="1" x14ac:dyDescent="0.45">
      <c r="A10" s="81" t="s">
        <v>39</v>
      </c>
      <c r="B10" s="27" t="s">
        <v>12</v>
      </c>
      <c r="C10" s="2">
        <v>128650</v>
      </c>
      <c r="D10" s="2">
        <f t="shared" ref="D10:H10" si="4">C10</f>
        <v>128650</v>
      </c>
      <c r="E10" s="2">
        <f t="shared" si="4"/>
        <v>128650</v>
      </c>
      <c r="F10" s="2">
        <f t="shared" si="4"/>
        <v>128650</v>
      </c>
      <c r="G10" s="2">
        <f t="shared" si="4"/>
        <v>128650</v>
      </c>
      <c r="H10" s="2">
        <f t="shared" si="4"/>
        <v>128650</v>
      </c>
      <c r="I10" s="19"/>
      <c r="J10" s="19"/>
      <c r="K10" s="19"/>
      <c r="L10" s="19"/>
      <c r="M10" s="19"/>
    </row>
    <row r="11" spans="1:24" x14ac:dyDescent="0.45">
      <c r="A11" s="82"/>
      <c r="B11" s="27" t="s">
        <v>11</v>
      </c>
      <c r="C11" s="2">
        <f t="shared" ref="C11:H11" si="5">C6</f>
        <v>28000</v>
      </c>
      <c r="D11" s="2">
        <f t="shared" si="5"/>
        <v>24800</v>
      </c>
      <c r="E11" s="2">
        <f t="shared" si="5"/>
        <v>21700</v>
      </c>
      <c r="F11" s="2">
        <f t="shared" si="5"/>
        <v>18500</v>
      </c>
      <c r="G11" s="2">
        <f t="shared" si="5"/>
        <v>15500</v>
      </c>
      <c r="H11" s="2">
        <f t="shared" si="5"/>
        <v>12200</v>
      </c>
    </row>
    <row r="12" spans="1:24" x14ac:dyDescent="0.45">
      <c r="A12" s="82"/>
      <c r="B12" s="58" t="s">
        <v>44</v>
      </c>
      <c r="C12" s="59">
        <f>C7</f>
        <v>15500</v>
      </c>
      <c r="D12" s="59">
        <f>C12</f>
        <v>15500</v>
      </c>
      <c r="E12" s="59">
        <f t="shared" ref="E12:H12" si="6">D12</f>
        <v>15500</v>
      </c>
      <c r="F12" s="59">
        <f t="shared" si="6"/>
        <v>15500</v>
      </c>
      <c r="G12" s="59">
        <f t="shared" si="6"/>
        <v>15500</v>
      </c>
      <c r="H12" s="59">
        <f t="shared" si="6"/>
        <v>15500</v>
      </c>
    </row>
    <row r="13" spans="1:24" x14ac:dyDescent="0.45">
      <c r="A13" s="82"/>
      <c r="B13" s="58" t="s">
        <v>47</v>
      </c>
      <c r="C13" s="59">
        <f>(((C10-C11)*0.95)*2)-C12*2</f>
        <v>160235</v>
      </c>
      <c r="D13" s="59">
        <f t="shared" ref="D13:H13" si="7">(((D10-D11)*0.95)*2)-D12*2</f>
        <v>166315</v>
      </c>
      <c r="E13" s="59">
        <f t="shared" si="7"/>
        <v>172205</v>
      </c>
      <c r="F13" s="59">
        <f t="shared" si="7"/>
        <v>178285</v>
      </c>
      <c r="G13" s="59">
        <f t="shared" si="7"/>
        <v>183985</v>
      </c>
      <c r="H13" s="59">
        <f t="shared" si="7"/>
        <v>190255</v>
      </c>
    </row>
    <row r="14" spans="1:24" x14ac:dyDescent="0.45">
      <c r="A14" s="82"/>
      <c r="B14" s="58" t="s">
        <v>48</v>
      </c>
      <c r="C14" s="59">
        <f>(C10-C11)-C12</f>
        <v>85150</v>
      </c>
      <c r="D14" s="59">
        <f t="shared" ref="D14:H14" si="8">(D10-D11)-D12</f>
        <v>88350</v>
      </c>
      <c r="E14" s="59">
        <f t="shared" si="8"/>
        <v>91450</v>
      </c>
      <c r="F14" s="59">
        <f t="shared" si="8"/>
        <v>94650</v>
      </c>
      <c r="G14" s="59">
        <f t="shared" si="8"/>
        <v>97650</v>
      </c>
      <c r="H14" s="59">
        <f t="shared" si="8"/>
        <v>100950</v>
      </c>
    </row>
    <row r="15" spans="1:24" x14ac:dyDescent="0.45">
      <c r="A15" s="81" t="s">
        <v>40</v>
      </c>
      <c r="B15" s="27" t="s">
        <v>12</v>
      </c>
      <c r="C15" s="2">
        <f>C10*1.05</f>
        <v>135082.5</v>
      </c>
      <c r="D15" s="2">
        <f t="shared" ref="D15:H15" si="9">C15</f>
        <v>135082.5</v>
      </c>
      <c r="E15" s="2">
        <f t="shared" si="9"/>
        <v>135082.5</v>
      </c>
      <c r="F15" s="2">
        <f t="shared" si="9"/>
        <v>135082.5</v>
      </c>
      <c r="G15" s="2">
        <f t="shared" si="9"/>
        <v>135082.5</v>
      </c>
      <c r="H15" s="2">
        <f t="shared" si="9"/>
        <v>135082.5</v>
      </c>
    </row>
    <row r="16" spans="1:24" x14ac:dyDescent="0.45">
      <c r="A16" s="82"/>
      <c r="B16" s="27" t="s">
        <v>11</v>
      </c>
      <c r="C16" s="2">
        <f t="shared" ref="C16:H16" si="10">C11</f>
        <v>28000</v>
      </c>
      <c r="D16" s="2">
        <f t="shared" si="10"/>
        <v>24800</v>
      </c>
      <c r="E16" s="2">
        <f t="shared" si="10"/>
        <v>21700</v>
      </c>
      <c r="F16" s="2">
        <f t="shared" si="10"/>
        <v>18500</v>
      </c>
      <c r="G16" s="2">
        <f t="shared" si="10"/>
        <v>15500</v>
      </c>
      <c r="H16" s="2">
        <f t="shared" si="10"/>
        <v>12200</v>
      </c>
    </row>
    <row r="17" spans="1:14" x14ac:dyDescent="0.45">
      <c r="A17" s="82"/>
      <c r="B17" s="60" t="s">
        <v>44</v>
      </c>
      <c r="C17" s="61">
        <f>C7</f>
        <v>15500</v>
      </c>
      <c r="D17" s="61">
        <f>C17</f>
        <v>15500</v>
      </c>
      <c r="E17" s="61">
        <f t="shared" ref="E17:H17" si="11">D17</f>
        <v>15500</v>
      </c>
      <c r="F17" s="61">
        <f t="shared" si="11"/>
        <v>15500</v>
      </c>
      <c r="G17" s="61">
        <f t="shared" si="11"/>
        <v>15500</v>
      </c>
      <c r="H17" s="61">
        <f t="shared" si="11"/>
        <v>15500</v>
      </c>
    </row>
    <row r="18" spans="1:14" x14ac:dyDescent="0.45">
      <c r="A18" s="82"/>
      <c r="B18" s="60" t="s">
        <v>47</v>
      </c>
      <c r="C18" s="61">
        <f>(((C15-C16)*0.95)*2)-C17*2</f>
        <v>172456.75</v>
      </c>
      <c r="D18" s="61">
        <f t="shared" ref="D18:H18" si="12">(((D15-D16)*0.95)*2)-D17*2</f>
        <v>178536.75</v>
      </c>
      <c r="E18" s="61">
        <f t="shared" si="12"/>
        <v>184426.75</v>
      </c>
      <c r="F18" s="61">
        <f t="shared" si="12"/>
        <v>190506.75</v>
      </c>
      <c r="G18" s="61">
        <f t="shared" si="12"/>
        <v>196206.75</v>
      </c>
      <c r="H18" s="61">
        <f t="shared" si="12"/>
        <v>202476.75</v>
      </c>
    </row>
    <row r="19" spans="1:14" x14ac:dyDescent="0.45">
      <c r="A19" s="82"/>
      <c r="B19" s="60" t="s">
        <v>48</v>
      </c>
      <c r="C19" s="61">
        <f>(C15-C16)-C17</f>
        <v>91582.5</v>
      </c>
      <c r="D19" s="61">
        <f t="shared" ref="D19:H19" si="13">(D15-D16)-D17</f>
        <v>94782.5</v>
      </c>
      <c r="E19" s="61">
        <f t="shared" si="13"/>
        <v>97882.5</v>
      </c>
      <c r="F19" s="61">
        <f t="shared" si="13"/>
        <v>101082.5</v>
      </c>
      <c r="G19" s="61">
        <f t="shared" si="13"/>
        <v>104082.5</v>
      </c>
      <c r="H19" s="61">
        <f t="shared" si="13"/>
        <v>107382.5</v>
      </c>
    </row>
    <row r="20" spans="1:14" x14ac:dyDescent="0.45">
      <c r="A20" s="81" t="s">
        <v>41</v>
      </c>
      <c r="B20" s="27" t="s">
        <v>12</v>
      </c>
      <c r="C20" s="2">
        <f>C15*1.05</f>
        <v>141836.625</v>
      </c>
      <c r="D20" s="2">
        <f t="shared" ref="D20:H20" si="14">C20</f>
        <v>141836.625</v>
      </c>
      <c r="E20" s="2">
        <f t="shared" si="14"/>
        <v>141836.625</v>
      </c>
      <c r="F20" s="2">
        <f t="shared" si="14"/>
        <v>141836.625</v>
      </c>
      <c r="G20" s="2">
        <f t="shared" si="14"/>
        <v>141836.625</v>
      </c>
      <c r="H20" s="2">
        <f t="shared" si="14"/>
        <v>141836.625</v>
      </c>
    </row>
    <row r="21" spans="1:14" x14ac:dyDescent="0.45">
      <c r="A21" s="82"/>
      <c r="B21" s="27" t="s">
        <v>11</v>
      </c>
      <c r="C21" s="2">
        <f t="shared" ref="C21:H21" si="15">C16</f>
        <v>28000</v>
      </c>
      <c r="D21" s="2">
        <f t="shared" si="15"/>
        <v>24800</v>
      </c>
      <c r="E21" s="2">
        <f t="shared" si="15"/>
        <v>21700</v>
      </c>
      <c r="F21" s="2">
        <f t="shared" si="15"/>
        <v>18500</v>
      </c>
      <c r="G21" s="2">
        <f t="shared" si="15"/>
        <v>15500</v>
      </c>
      <c r="H21" s="2">
        <f t="shared" si="15"/>
        <v>12200</v>
      </c>
    </row>
    <row r="22" spans="1:14" x14ac:dyDescent="0.45">
      <c r="A22" s="82"/>
      <c r="B22" s="62" t="s">
        <v>44</v>
      </c>
      <c r="C22" s="63">
        <f>C7</f>
        <v>15500</v>
      </c>
      <c r="D22" s="63">
        <f>C22</f>
        <v>15500</v>
      </c>
      <c r="E22" s="63">
        <f t="shared" ref="E22:H22" si="16">D22</f>
        <v>15500</v>
      </c>
      <c r="F22" s="63">
        <f t="shared" si="16"/>
        <v>15500</v>
      </c>
      <c r="G22" s="63">
        <f t="shared" si="16"/>
        <v>15500</v>
      </c>
      <c r="H22" s="63">
        <f t="shared" si="16"/>
        <v>15500</v>
      </c>
    </row>
    <row r="23" spans="1:14" x14ac:dyDescent="0.45">
      <c r="A23" s="82"/>
      <c r="B23" s="62" t="s">
        <v>47</v>
      </c>
      <c r="C23" s="63">
        <f>(((C20-C21)*0.95)*2)-C22*2</f>
        <v>185289.58749999999</v>
      </c>
      <c r="D23" s="63">
        <f t="shared" ref="D23:G23" si="17">(((D20-D21)*0.95)*2)-D22*2</f>
        <v>191369.58749999999</v>
      </c>
      <c r="E23" s="63">
        <f t="shared" si="17"/>
        <v>197259.58749999999</v>
      </c>
      <c r="F23" s="63">
        <f t="shared" si="17"/>
        <v>203339.58749999999</v>
      </c>
      <c r="G23" s="63">
        <f t="shared" si="17"/>
        <v>209039.58749999999</v>
      </c>
      <c r="H23" s="63">
        <f>(((H20-H21)*0.95)*2)-H22*2</f>
        <v>215309.58749999999</v>
      </c>
    </row>
    <row r="24" spans="1:14" x14ac:dyDescent="0.45">
      <c r="A24" s="82"/>
      <c r="B24" s="62" t="s">
        <v>48</v>
      </c>
      <c r="C24" s="63">
        <f>(C20-C21)-C22</f>
        <v>98336.625</v>
      </c>
      <c r="D24" s="63">
        <f t="shared" ref="D24:H24" si="18">(D20-D21)-D22</f>
        <v>101536.625</v>
      </c>
      <c r="E24" s="63">
        <f t="shared" si="18"/>
        <v>104636.625</v>
      </c>
      <c r="F24" s="63">
        <f t="shared" si="18"/>
        <v>107836.625</v>
      </c>
      <c r="G24" s="63">
        <f t="shared" si="18"/>
        <v>110836.625</v>
      </c>
      <c r="H24" s="63">
        <f t="shared" si="18"/>
        <v>114136.625</v>
      </c>
    </row>
    <row r="25" spans="1:14" x14ac:dyDescent="0.45">
      <c r="A25" s="83" t="s">
        <v>13</v>
      </c>
      <c r="B25" s="83"/>
      <c r="C25" s="63">
        <f t="shared" ref="C25:H25" si="19">SUM(C8,C13,C18,C23)</f>
        <v>669571.33750000002</v>
      </c>
      <c r="D25" s="63">
        <f t="shared" si="19"/>
        <v>693891.33750000002</v>
      </c>
      <c r="E25" s="63">
        <f t="shared" si="19"/>
        <v>717451.33750000002</v>
      </c>
      <c r="F25" s="63">
        <f t="shared" si="19"/>
        <v>741771.33750000002</v>
      </c>
      <c r="G25" s="63">
        <f t="shared" si="19"/>
        <v>764571.33750000002</v>
      </c>
      <c r="H25" s="63">
        <f t="shared" si="19"/>
        <v>789651.33750000002</v>
      </c>
    </row>
    <row r="26" spans="1:14" ht="18.45" x14ac:dyDescent="0.45">
      <c r="A26" s="84" t="s">
        <v>14</v>
      </c>
      <c r="B26" s="84"/>
      <c r="C26" s="84"/>
      <c r="D26" s="84"/>
      <c r="E26" s="84"/>
      <c r="F26" s="84"/>
      <c r="G26" s="84"/>
      <c r="H26" s="84"/>
      <c r="I26" s="19"/>
      <c r="J26" s="19"/>
      <c r="K26" s="19"/>
      <c r="L26" s="19"/>
      <c r="M26" s="19"/>
      <c r="N26" s="19"/>
    </row>
    <row r="27" spans="1:14" x14ac:dyDescent="0.45">
      <c r="A27" s="81" t="s">
        <v>38</v>
      </c>
      <c r="B27" s="15" t="s">
        <v>15</v>
      </c>
      <c r="C27" s="2">
        <f>C5*0.75</f>
        <v>93075</v>
      </c>
      <c r="D27" s="2">
        <f t="shared" ref="D27:H27" si="20">C27</f>
        <v>93075</v>
      </c>
      <c r="E27" s="2">
        <f t="shared" si="20"/>
        <v>93075</v>
      </c>
      <c r="F27" s="2">
        <f t="shared" si="20"/>
        <v>93075</v>
      </c>
      <c r="G27" s="2">
        <f t="shared" si="20"/>
        <v>93075</v>
      </c>
      <c r="H27" s="2">
        <f t="shared" si="20"/>
        <v>93075</v>
      </c>
    </row>
    <row r="28" spans="1:14" x14ac:dyDescent="0.45">
      <c r="A28" s="82"/>
      <c r="B28" s="15" t="s">
        <v>11</v>
      </c>
      <c r="C28" s="2">
        <v>28000</v>
      </c>
      <c r="D28" s="2">
        <v>24800</v>
      </c>
      <c r="E28" s="2">
        <v>21700</v>
      </c>
      <c r="F28" s="2">
        <v>18500</v>
      </c>
      <c r="G28" s="2">
        <v>15500</v>
      </c>
      <c r="H28" s="2">
        <v>12200</v>
      </c>
    </row>
    <row r="29" spans="1:14" x14ac:dyDescent="0.45">
      <c r="A29" s="82"/>
      <c r="B29" s="23" t="s">
        <v>47</v>
      </c>
      <c r="C29" s="55">
        <f>((C27-C28)*0.95)*2</f>
        <v>123642.5</v>
      </c>
      <c r="D29" s="55">
        <f t="shared" ref="D29:G29" si="21">((D27-D28)*0.95)*2</f>
        <v>129722.5</v>
      </c>
      <c r="E29" s="55">
        <f t="shared" si="21"/>
        <v>135612.5</v>
      </c>
      <c r="F29" s="55">
        <f t="shared" si="21"/>
        <v>141692.5</v>
      </c>
      <c r="G29" s="55">
        <f t="shared" si="21"/>
        <v>147392.5</v>
      </c>
      <c r="H29" s="55">
        <f>((H27-H28)*0.95)*2</f>
        <v>153662.5</v>
      </c>
      <c r="I29" s="19"/>
      <c r="J29" s="19"/>
      <c r="K29" s="19"/>
      <c r="L29" s="19"/>
    </row>
    <row r="30" spans="1:14" x14ac:dyDescent="0.45">
      <c r="A30" s="82"/>
      <c r="B30" s="23" t="s">
        <v>48</v>
      </c>
      <c r="C30" s="55">
        <f>(C27-C28)</f>
        <v>65075</v>
      </c>
      <c r="D30" s="55">
        <f t="shared" ref="D30:H30" si="22">(D27-D28)</f>
        <v>68275</v>
      </c>
      <c r="E30" s="55">
        <f t="shared" si="22"/>
        <v>71375</v>
      </c>
      <c r="F30" s="55">
        <f t="shared" si="22"/>
        <v>74575</v>
      </c>
      <c r="G30" s="55">
        <f t="shared" si="22"/>
        <v>77575</v>
      </c>
      <c r="H30" s="55">
        <f t="shared" si="22"/>
        <v>80875</v>
      </c>
      <c r="I30" s="19"/>
      <c r="J30" s="19"/>
      <c r="K30" s="19"/>
      <c r="L30" s="19"/>
      <c r="M30" s="19"/>
    </row>
    <row r="31" spans="1:14" x14ac:dyDescent="0.45">
      <c r="A31" s="81" t="s">
        <v>39</v>
      </c>
      <c r="B31" s="15" t="s">
        <v>15</v>
      </c>
      <c r="C31" s="2">
        <f>C10*0.75</f>
        <v>96487.5</v>
      </c>
      <c r="D31" s="2">
        <f t="shared" ref="D31:H31" si="23">C31</f>
        <v>96487.5</v>
      </c>
      <c r="E31" s="2">
        <f t="shared" si="23"/>
        <v>96487.5</v>
      </c>
      <c r="F31" s="2">
        <f t="shared" si="23"/>
        <v>96487.5</v>
      </c>
      <c r="G31" s="2">
        <f t="shared" si="23"/>
        <v>96487.5</v>
      </c>
      <c r="H31" s="2">
        <f t="shared" si="23"/>
        <v>96487.5</v>
      </c>
      <c r="I31" s="19"/>
      <c r="J31" s="19"/>
      <c r="K31" s="19"/>
      <c r="L31" s="19"/>
      <c r="M31" s="19"/>
    </row>
    <row r="32" spans="1:14" x14ac:dyDescent="0.45">
      <c r="A32" s="82"/>
      <c r="B32" s="15" t="s">
        <v>11</v>
      </c>
      <c r="C32" s="2">
        <f t="shared" ref="C32:H32" si="24">C28</f>
        <v>28000</v>
      </c>
      <c r="D32" s="2">
        <f t="shared" si="24"/>
        <v>24800</v>
      </c>
      <c r="E32" s="2">
        <f t="shared" si="24"/>
        <v>21700</v>
      </c>
      <c r="F32" s="2">
        <f t="shared" si="24"/>
        <v>18500</v>
      </c>
      <c r="G32" s="2">
        <f t="shared" si="24"/>
        <v>15500</v>
      </c>
      <c r="H32" s="2">
        <f t="shared" si="24"/>
        <v>12200</v>
      </c>
    </row>
    <row r="33" spans="1:8" x14ac:dyDescent="0.45">
      <c r="A33" s="82"/>
      <c r="B33" s="58" t="s">
        <v>47</v>
      </c>
      <c r="C33" s="59">
        <f>((C31-C32)*0.95)*2</f>
        <v>130126.25</v>
      </c>
      <c r="D33" s="59">
        <f t="shared" ref="D33:H33" si="25">((D31-D32)*0.95)*2</f>
        <v>136206.25</v>
      </c>
      <c r="E33" s="59">
        <f t="shared" si="25"/>
        <v>142096.25</v>
      </c>
      <c r="F33" s="59">
        <f t="shared" si="25"/>
        <v>148176.25</v>
      </c>
      <c r="G33" s="59">
        <f t="shared" si="25"/>
        <v>153876.25</v>
      </c>
      <c r="H33" s="59">
        <f t="shared" si="25"/>
        <v>160146.25</v>
      </c>
    </row>
    <row r="34" spans="1:8" x14ac:dyDescent="0.45">
      <c r="A34" s="82"/>
      <c r="B34" s="33" t="s">
        <v>48</v>
      </c>
      <c r="C34" s="59">
        <f>(C31-C32)</f>
        <v>68487.5</v>
      </c>
      <c r="D34" s="59">
        <f t="shared" ref="D34:H34" si="26">(D31-D32)</f>
        <v>71687.5</v>
      </c>
      <c r="E34" s="59">
        <f t="shared" si="26"/>
        <v>74787.5</v>
      </c>
      <c r="F34" s="59">
        <f t="shared" si="26"/>
        <v>77987.5</v>
      </c>
      <c r="G34" s="59">
        <f t="shared" si="26"/>
        <v>80987.5</v>
      </c>
      <c r="H34" s="59">
        <f t="shared" si="26"/>
        <v>84287.5</v>
      </c>
    </row>
    <row r="35" spans="1:8" x14ac:dyDescent="0.45">
      <c r="A35" s="81" t="s">
        <v>40</v>
      </c>
      <c r="B35" s="15" t="s">
        <v>15</v>
      </c>
      <c r="C35" s="2">
        <f>C31*1.05</f>
        <v>101311.875</v>
      </c>
      <c r="D35" s="2">
        <f t="shared" ref="D35:H35" si="27">C35</f>
        <v>101311.875</v>
      </c>
      <c r="E35" s="2">
        <f t="shared" si="27"/>
        <v>101311.875</v>
      </c>
      <c r="F35" s="2">
        <f t="shared" si="27"/>
        <v>101311.875</v>
      </c>
      <c r="G35" s="2">
        <f t="shared" si="27"/>
        <v>101311.875</v>
      </c>
      <c r="H35" s="2">
        <f t="shared" si="27"/>
        <v>101311.875</v>
      </c>
    </row>
    <row r="36" spans="1:8" x14ac:dyDescent="0.45">
      <c r="A36" s="82"/>
      <c r="B36" s="15" t="s">
        <v>11</v>
      </c>
      <c r="C36" s="2">
        <f t="shared" ref="C36:H36" si="28">C32</f>
        <v>28000</v>
      </c>
      <c r="D36" s="2">
        <f t="shared" si="28"/>
        <v>24800</v>
      </c>
      <c r="E36" s="2">
        <f t="shared" si="28"/>
        <v>21700</v>
      </c>
      <c r="F36" s="2">
        <f t="shared" si="28"/>
        <v>18500</v>
      </c>
      <c r="G36" s="2">
        <f t="shared" si="28"/>
        <v>15500</v>
      </c>
      <c r="H36" s="2">
        <f t="shared" si="28"/>
        <v>12200</v>
      </c>
    </row>
    <row r="37" spans="1:8" x14ac:dyDescent="0.45">
      <c r="A37" s="82"/>
      <c r="B37" s="60" t="s">
        <v>47</v>
      </c>
      <c r="C37" s="61">
        <f>((C35-C36)*0.95)*2</f>
        <v>139292.5625</v>
      </c>
      <c r="D37" s="61">
        <f t="shared" ref="D37:H37" si="29">((D35-D36)*0.95)*2</f>
        <v>145372.5625</v>
      </c>
      <c r="E37" s="61">
        <f t="shared" si="29"/>
        <v>151262.5625</v>
      </c>
      <c r="F37" s="61">
        <f t="shared" si="29"/>
        <v>157342.5625</v>
      </c>
      <c r="G37" s="61">
        <f t="shared" si="29"/>
        <v>163042.5625</v>
      </c>
      <c r="H37" s="61">
        <f t="shared" si="29"/>
        <v>169312.5625</v>
      </c>
    </row>
    <row r="38" spans="1:8" x14ac:dyDescent="0.45">
      <c r="A38" s="82"/>
      <c r="B38" s="31" t="s">
        <v>48</v>
      </c>
      <c r="C38" s="61">
        <f>(C35-C36)</f>
        <v>73311.875</v>
      </c>
      <c r="D38" s="61">
        <f t="shared" ref="D38:H38" si="30">(D35-D36)</f>
        <v>76511.875</v>
      </c>
      <c r="E38" s="61">
        <f t="shared" si="30"/>
        <v>79611.875</v>
      </c>
      <c r="F38" s="61">
        <f t="shared" si="30"/>
        <v>82811.875</v>
      </c>
      <c r="G38" s="61">
        <f t="shared" si="30"/>
        <v>85811.875</v>
      </c>
      <c r="H38" s="61">
        <f t="shared" si="30"/>
        <v>89111.875</v>
      </c>
    </row>
    <row r="39" spans="1:8" x14ac:dyDescent="0.45">
      <c r="A39" s="81" t="s">
        <v>41</v>
      </c>
      <c r="B39" s="15" t="s">
        <v>15</v>
      </c>
      <c r="C39" s="2">
        <f>C35*1.05</f>
        <v>106377.46875</v>
      </c>
      <c r="D39" s="2">
        <f t="shared" ref="D39:H39" si="31">C39</f>
        <v>106377.46875</v>
      </c>
      <c r="E39" s="2">
        <f t="shared" si="31"/>
        <v>106377.46875</v>
      </c>
      <c r="F39" s="2">
        <f t="shared" si="31"/>
        <v>106377.46875</v>
      </c>
      <c r="G39" s="2">
        <f t="shared" si="31"/>
        <v>106377.46875</v>
      </c>
      <c r="H39" s="2">
        <f t="shared" si="31"/>
        <v>106377.46875</v>
      </c>
    </row>
    <row r="40" spans="1:8" x14ac:dyDescent="0.45">
      <c r="A40" s="82"/>
      <c r="B40" s="15" t="s">
        <v>11</v>
      </c>
      <c r="C40" s="2">
        <f t="shared" ref="C40:H40" si="32">C36</f>
        <v>28000</v>
      </c>
      <c r="D40" s="2">
        <f t="shared" si="32"/>
        <v>24800</v>
      </c>
      <c r="E40" s="2">
        <f t="shared" si="32"/>
        <v>21700</v>
      </c>
      <c r="F40" s="2">
        <f t="shared" si="32"/>
        <v>18500</v>
      </c>
      <c r="G40" s="2">
        <f t="shared" si="32"/>
        <v>15500</v>
      </c>
      <c r="H40" s="2">
        <f t="shared" si="32"/>
        <v>12200</v>
      </c>
    </row>
    <row r="41" spans="1:8" x14ac:dyDescent="0.45">
      <c r="A41" s="82"/>
      <c r="B41" s="62" t="s">
        <v>47</v>
      </c>
      <c r="C41" s="63">
        <f>((C39-C40)*0.95)*2</f>
        <v>148917.19062499999</v>
      </c>
      <c r="D41" s="63">
        <f t="shared" ref="D41:H41" si="33">((D39-D40)*0.95)*2</f>
        <v>154997.19062499999</v>
      </c>
      <c r="E41" s="63">
        <f t="shared" si="33"/>
        <v>160887.19062499999</v>
      </c>
      <c r="F41" s="63">
        <f t="shared" si="33"/>
        <v>166967.19062499999</v>
      </c>
      <c r="G41" s="63">
        <f t="shared" si="33"/>
        <v>172667.19062499999</v>
      </c>
      <c r="H41" s="63">
        <f t="shared" si="33"/>
        <v>178937.19062499999</v>
      </c>
    </row>
    <row r="42" spans="1:8" x14ac:dyDescent="0.45">
      <c r="A42" s="82"/>
      <c r="B42" s="32" t="s">
        <v>48</v>
      </c>
      <c r="C42" s="63">
        <f>(C39-C40)</f>
        <v>78377.46875</v>
      </c>
      <c r="D42" s="63">
        <f t="shared" ref="D42:H42" si="34">(D39-D40)</f>
        <v>81577.46875</v>
      </c>
      <c r="E42" s="63">
        <f t="shared" si="34"/>
        <v>84677.46875</v>
      </c>
      <c r="F42" s="63">
        <f t="shared" si="34"/>
        <v>87877.46875</v>
      </c>
      <c r="G42" s="63">
        <f t="shared" si="34"/>
        <v>90877.46875</v>
      </c>
      <c r="H42" s="63">
        <f t="shared" si="34"/>
        <v>94177.46875</v>
      </c>
    </row>
    <row r="43" spans="1:8" x14ac:dyDescent="0.45">
      <c r="A43" s="83" t="s">
        <v>13</v>
      </c>
      <c r="B43" s="83"/>
      <c r="C43" s="63">
        <f t="shared" ref="C43:H43" si="35">SUM(C29,C33,C37,C41)</f>
        <v>541978.50312500005</v>
      </c>
      <c r="D43" s="63">
        <f t="shared" si="35"/>
        <v>566298.50312500005</v>
      </c>
      <c r="E43" s="63">
        <f t="shared" si="35"/>
        <v>589858.50312500005</v>
      </c>
      <c r="F43" s="63">
        <f t="shared" si="35"/>
        <v>614178.50312500005</v>
      </c>
      <c r="G43" s="63">
        <f t="shared" si="35"/>
        <v>636978.50312500005</v>
      </c>
      <c r="H43" s="63">
        <f t="shared" si="35"/>
        <v>662058.50312500005</v>
      </c>
    </row>
    <row r="44" spans="1:8" ht="16" customHeight="1" x14ac:dyDescent="0.45">
      <c r="A44" s="84" t="s">
        <v>16</v>
      </c>
      <c r="B44" s="84"/>
      <c r="C44" s="84"/>
      <c r="D44" s="84"/>
      <c r="E44" s="84"/>
      <c r="F44" s="84"/>
      <c r="G44" s="84"/>
      <c r="H44" s="84"/>
    </row>
    <row r="45" spans="1:8" ht="16" customHeight="1" x14ac:dyDescent="0.45">
      <c r="A45" s="84"/>
      <c r="B45" s="84"/>
      <c r="C45" s="84"/>
      <c r="D45" s="84"/>
      <c r="E45" s="84"/>
      <c r="F45" s="84"/>
      <c r="G45" s="84"/>
      <c r="H45" s="84"/>
    </row>
    <row r="46" spans="1:8" ht="17.149999999999999" customHeight="1" x14ac:dyDescent="0.45">
      <c r="A46" s="84"/>
      <c r="B46" s="84"/>
      <c r="C46" s="84"/>
      <c r="D46" s="84"/>
      <c r="E46" s="84"/>
      <c r="F46" s="84"/>
      <c r="G46" s="84"/>
      <c r="H46" s="84"/>
    </row>
    <row r="47" spans="1:8" x14ac:dyDescent="0.45">
      <c r="A47" s="85" t="s">
        <v>17</v>
      </c>
      <c r="B47" s="85"/>
      <c r="C47" s="86" t="s">
        <v>18</v>
      </c>
      <c r="D47" s="86"/>
      <c r="E47" s="7">
        <v>10000</v>
      </c>
      <c r="F47" s="57"/>
      <c r="G47" s="65"/>
      <c r="H47" s="56"/>
    </row>
    <row r="48" spans="1:8" ht="16" customHeight="1" x14ac:dyDescent="0.45">
      <c r="A48" s="85"/>
      <c r="B48" s="85"/>
      <c r="C48" s="86" t="s">
        <v>19</v>
      </c>
      <c r="D48" s="86"/>
      <c r="E48" s="7">
        <v>3000</v>
      </c>
      <c r="F48" s="57"/>
      <c r="G48" s="65"/>
      <c r="H48" s="56"/>
    </row>
    <row r="49" spans="1:8" ht="16" customHeight="1" x14ac:dyDescent="0.45">
      <c r="A49" s="85"/>
      <c r="B49" s="85"/>
      <c r="C49" s="87" t="s">
        <v>20</v>
      </c>
      <c r="D49" s="87"/>
      <c r="E49" s="7">
        <v>5000</v>
      </c>
      <c r="F49" s="66"/>
      <c r="G49" s="67"/>
      <c r="H49" s="56"/>
    </row>
    <row r="50" spans="1:8" ht="33" customHeight="1" x14ac:dyDescent="0.45">
      <c r="A50" s="20" t="s">
        <v>21</v>
      </c>
      <c r="B50" s="20" t="s">
        <v>22</v>
      </c>
      <c r="C50" s="21" t="s">
        <v>23</v>
      </c>
      <c r="D50" s="21" t="s">
        <v>24</v>
      </c>
      <c r="E50" s="21" t="s">
        <v>25</v>
      </c>
      <c r="F50" s="21" t="s">
        <v>26</v>
      </c>
      <c r="G50" s="20" t="s">
        <v>27</v>
      </c>
      <c r="H50" s="20" t="s">
        <v>29</v>
      </c>
    </row>
    <row r="51" spans="1:8" ht="14.5" customHeight="1" x14ac:dyDescent="0.45">
      <c r="A51" s="16" t="s">
        <v>30</v>
      </c>
      <c r="B51" s="7">
        <f>B52*2</f>
        <v>9000</v>
      </c>
      <c r="C51" s="7">
        <f t="shared" ref="C51:G51" si="36">C52*2</f>
        <v>7000</v>
      </c>
      <c r="D51" s="7">
        <v>1000</v>
      </c>
      <c r="E51" s="7">
        <f t="shared" si="36"/>
        <v>1500</v>
      </c>
      <c r="F51" s="7">
        <f t="shared" si="36"/>
        <v>1000</v>
      </c>
      <c r="G51" s="7">
        <f t="shared" si="36"/>
        <v>1000</v>
      </c>
      <c r="H51" s="7">
        <f>SUM(B51:G51)</f>
        <v>20500</v>
      </c>
    </row>
    <row r="52" spans="1:8" ht="14.5" customHeight="1" x14ac:dyDescent="0.45">
      <c r="A52" s="16" t="s">
        <v>31</v>
      </c>
      <c r="B52" s="7">
        <v>4500</v>
      </c>
      <c r="C52" s="7">
        <v>3500</v>
      </c>
      <c r="D52" s="7">
        <v>1000</v>
      </c>
      <c r="E52" s="7">
        <v>750</v>
      </c>
      <c r="F52" s="7">
        <v>500</v>
      </c>
      <c r="G52" s="7">
        <v>500</v>
      </c>
      <c r="H52" s="7">
        <f>SUM(B52:G52)</f>
        <v>10750</v>
      </c>
    </row>
    <row r="53" spans="1:8" x14ac:dyDescent="0.45">
      <c r="A53" s="73" t="s">
        <v>45</v>
      </c>
      <c r="B53" s="74"/>
      <c r="C53" s="74"/>
      <c r="D53" s="74"/>
      <c r="E53" s="74"/>
      <c r="F53" s="74"/>
      <c r="G53" s="74"/>
      <c r="H53" s="74"/>
    </row>
    <row r="54" spans="1:8" ht="28" customHeight="1" x14ac:dyDescent="0.45">
      <c r="A54" s="73" t="s">
        <v>46</v>
      </c>
      <c r="B54" s="74"/>
      <c r="C54" s="74"/>
      <c r="D54" s="74"/>
      <c r="E54" s="74"/>
      <c r="F54" s="74"/>
      <c r="G54" s="74"/>
      <c r="H54" s="74"/>
    </row>
    <row r="55" spans="1:8" x14ac:dyDescent="0.45">
      <c r="A55" s="73" t="s">
        <v>43</v>
      </c>
      <c r="B55" s="74"/>
      <c r="C55" s="74"/>
      <c r="D55" s="74"/>
      <c r="E55" s="74"/>
      <c r="F55" s="74"/>
      <c r="G55" s="74"/>
      <c r="H55" s="74"/>
    </row>
    <row r="56" spans="1:8" x14ac:dyDescent="0.45">
      <c r="A56" s="73" t="s">
        <v>32</v>
      </c>
      <c r="B56" s="74"/>
      <c r="C56" s="74"/>
      <c r="D56" s="74"/>
      <c r="E56" s="74"/>
      <c r="F56" s="74"/>
      <c r="G56" s="74"/>
      <c r="H56" s="74"/>
    </row>
    <row r="57" spans="1:8" ht="28.75" customHeight="1" x14ac:dyDescent="0.45">
      <c r="A57" s="73" t="s">
        <v>80</v>
      </c>
      <c r="B57" s="74"/>
      <c r="C57" s="74"/>
      <c r="D57" s="74"/>
      <c r="E57" s="74"/>
      <c r="F57" s="74"/>
      <c r="G57" s="74"/>
      <c r="H57" s="74"/>
    </row>
    <row r="58" spans="1:8" ht="18" customHeight="1" x14ac:dyDescent="0.45">
      <c r="A58" s="73" t="s">
        <v>9</v>
      </c>
      <c r="B58" s="74"/>
      <c r="C58" s="74"/>
      <c r="D58" s="74"/>
      <c r="E58" s="74"/>
      <c r="F58" s="74"/>
      <c r="G58" s="74"/>
      <c r="H58" s="74"/>
    </row>
  </sheetData>
  <mergeCells count="25">
    <mergeCell ref="A27:A30"/>
    <mergeCell ref="A35:A38"/>
    <mergeCell ref="A39:A42"/>
    <mergeCell ref="A44:H46"/>
    <mergeCell ref="A47:B49"/>
    <mergeCell ref="C47:D47"/>
    <mergeCell ref="C48:D48"/>
    <mergeCell ref="C49:D49"/>
    <mergeCell ref="A43:B43"/>
    <mergeCell ref="A1:H1"/>
    <mergeCell ref="A2:H2"/>
    <mergeCell ref="A58:H58"/>
    <mergeCell ref="A53:H53"/>
    <mergeCell ref="A54:H54"/>
    <mergeCell ref="A55:H55"/>
    <mergeCell ref="A56:H56"/>
    <mergeCell ref="A26:H26"/>
    <mergeCell ref="A4:H4"/>
    <mergeCell ref="A5:A9"/>
    <mergeCell ref="A10:A14"/>
    <mergeCell ref="A15:A19"/>
    <mergeCell ref="A20:A24"/>
    <mergeCell ref="A25:B25"/>
    <mergeCell ref="A57:H57"/>
    <mergeCell ref="A31:A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58"/>
  <sheetViews>
    <sheetView zoomScale="83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23" ht="25.5" customHeight="1" x14ac:dyDescent="0.45">
      <c r="A1" s="71" t="s">
        <v>87</v>
      </c>
      <c r="B1" s="71"/>
      <c r="C1" s="71"/>
      <c r="D1" s="71"/>
      <c r="E1" s="71"/>
      <c r="F1" s="71"/>
      <c r="G1" s="71"/>
      <c r="H1" s="71"/>
      <c r="I1" s="71"/>
    </row>
    <row r="2" spans="1:23" ht="55.5" customHeight="1" x14ac:dyDescent="0.45">
      <c r="A2" s="72" t="s">
        <v>100</v>
      </c>
      <c r="B2" s="71"/>
      <c r="C2" s="71"/>
      <c r="D2" s="71"/>
      <c r="E2" s="71"/>
      <c r="F2" s="71"/>
      <c r="G2" s="71"/>
      <c r="H2" s="71"/>
      <c r="I2" s="71"/>
    </row>
    <row r="3" spans="1:23" ht="24" customHeight="1" x14ac:dyDescent="0.45">
      <c r="A3" s="43" t="s">
        <v>1</v>
      </c>
      <c r="B3" s="44" t="s">
        <v>2</v>
      </c>
      <c r="C3" s="43" t="s">
        <v>33</v>
      </c>
      <c r="D3" s="43" t="s">
        <v>34</v>
      </c>
      <c r="E3" s="43" t="s">
        <v>35</v>
      </c>
      <c r="F3" s="43" t="s">
        <v>36</v>
      </c>
      <c r="G3" s="43" t="s">
        <v>49</v>
      </c>
      <c r="H3" s="43" t="s">
        <v>50</v>
      </c>
      <c r="I3" s="43" t="s">
        <v>51</v>
      </c>
    </row>
    <row r="4" spans="1:23" x14ac:dyDescent="0.45">
      <c r="A4" s="78" t="s">
        <v>0</v>
      </c>
      <c r="B4" s="79"/>
      <c r="C4" s="79"/>
      <c r="D4" s="79"/>
      <c r="E4" s="79"/>
      <c r="F4" s="79"/>
      <c r="G4" s="79"/>
      <c r="H4" s="79"/>
      <c r="I4" s="80"/>
    </row>
    <row r="5" spans="1:23" x14ac:dyDescent="0.45">
      <c r="A5" s="81" t="s">
        <v>38</v>
      </c>
      <c r="B5" s="27" t="s">
        <v>10</v>
      </c>
      <c r="C5" s="2">
        <v>93100</v>
      </c>
      <c r="D5" s="2">
        <f>C5</f>
        <v>93100</v>
      </c>
      <c r="E5" s="2">
        <f t="shared" ref="E5:I5" si="0">D5</f>
        <v>93100</v>
      </c>
      <c r="F5" s="2">
        <f t="shared" si="0"/>
        <v>93100</v>
      </c>
      <c r="G5" s="2">
        <f t="shared" si="0"/>
        <v>93100</v>
      </c>
      <c r="H5" s="2">
        <f t="shared" si="0"/>
        <v>93100</v>
      </c>
      <c r="I5" s="2">
        <f t="shared" si="0"/>
        <v>93100</v>
      </c>
      <c r="J5" s="19"/>
      <c r="K5" s="19"/>
      <c r="L5" s="19"/>
    </row>
    <row r="6" spans="1:23" x14ac:dyDescent="0.45">
      <c r="A6" s="82"/>
      <c r="B6" s="27" t="s">
        <v>11</v>
      </c>
      <c r="C6" s="2">
        <v>35000</v>
      </c>
      <c r="D6" s="2">
        <v>29700</v>
      </c>
      <c r="E6" s="2">
        <v>26500</v>
      </c>
      <c r="F6" s="2">
        <v>23400</v>
      </c>
      <c r="G6" s="2">
        <v>20200</v>
      </c>
      <c r="H6" s="2">
        <v>17000</v>
      </c>
      <c r="I6" s="2">
        <v>13800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45">
      <c r="A7" s="82"/>
      <c r="B7" s="54" t="s">
        <v>44</v>
      </c>
      <c r="C7" s="55">
        <v>18500</v>
      </c>
      <c r="D7" s="55">
        <f>C7</f>
        <v>18500</v>
      </c>
      <c r="E7" s="55">
        <f t="shared" ref="E7:I7" si="1">D7</f>
        <v>18500</v>
      </c>
      <c r="F7" s="55">
        <f t="shared" si="1"/>
        <v>18500</v>
      </c>
      <c r="G7" s="55">
        <f t="shared" si="1"/>
        <v>18500</v>
      </c>
      <c r="H7" s="55">
        <f t="shared" si="1"/>
        <v>18500</v>
      </c>
      <c r="I7" s="55">
        <f t="shared" si="1"/>
        <v>18500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45">
      <c r="A8" s="82"/>
      <c r="B8" s="54" t="s">
        <v>47</v>
      </c>
      <c r="C8" s="55">
        <f>(((C5-C6)*0.95)*2)-C7*2</f>
        <v>73390</v>
      </c>
      <c r="D8" s="55">
        <f t="shared" ref="D8:I8" si="2">(((D5-D6)*0.95)*2)-D7*2</f>
        <v>83460</v>
      </c>
      <c r="E8" s="55">
        <f t="shared" si="2"/>
        <v>89540</v>
      </c>
      <c r="F8" s="55">
        <f t="shared" si="2"/>
        <v>95430</v>
      </c>
      <c r="G8" s="55">
        <f t="shared" si="2"/>
        <v>101510</v>
      </c>
      <c r="H8" s="55">
        <f t="shared" si="2"/>
        <v>107590</v>
      </c>
      <c r="I8" s="55">
        <f t="shared" si="2"/>
        <v>113670</v>
      </c>
      <c r="J8" s="19"/>
      <c r="K8" s="19"/>
      <c r="L8" s="19"/>
      <c r="M8" s="19"/>
      <c r="N8" s="19"/>
    </row>
    <row r="9" spans="1:23" x14ac:dyDescent="0.45">
      <c r="A9" s="82"/>
      <c r="B9" s="54" t="s">
        <v>48</v>
      </c>
      <c r="C9" s="55">
        <f>(C5-C6)-C7</f>
        <v>39600</v>
      </c>
      <c r="D9" s="55">
        <f t="shared" ref="D9:I9" si="3">(D5-D6)-D7</f>
        <v>44900</v>
      </c>
      <c r="E9" s="55">
        <f t="shared" si="3"/>
        <v>48100</v>
      </c>
      <c r="F9" s="55">
        <f t="shared" si="3"/>
        <v>51200</v>
      </c>
      <c r="G9" s="55">
        <f t="shared" si="3"/>
        <v>54400</v>
      </c>
      <c r="H9" s="55">
        <f t="shared" si="3"/>
        <v>57600</v>
      </c>
      <c r="I9" s="55">
        <f t="shared" si="3"/>
        <v>60800</v>
      </c>
      <c r="J9" s="19"/>
      <c r="K9" s="19"/>
      <c r="L9" s="19"/>
      <c r="M9" s="19"/>
      <c r="N9" s="19"/>
      <c r="O9" s="19"/>
    </row>
    <row r="10" spans="1:23" ht="16" customHeight="1" x14ac:dyDescent="0.45">
      <c r="A10" s="81" t="s">
        <v>39</v>
      </c>
      <c r="B10" s="27" t="s">
        <v>12</v>
      </c>
      <c r="C10" s="2">
        <v>96100</v>
      </c>
      <c r="D10" s="2">
        <f t="shared" ref="D10:G10" si="4">C10</f>
        <v>96100</v>
      </c>
      <c r="E10" s="2">
        <f t="shared" si="4"/>
        <v>96100</v>
      </c>
      <c r="F10" s="2">
        <f t="shared" si="4"/>
        <v>96100</v>
      </c>
      <c r="G10" s="2">
        <f t="shared" si="4"/>
        <v>96100</v>
      </c>
      <c r="H10" s="2">
        <f>G10</f>
        <v>96100</v>
      </c>
      <c r="I10" s="2">
        <f t="shared" ref="I10" si="5">H10</f>
        <v>96100</v>
      </c>
    </row>
    <row r="11" spans="1:23" x14ac:dyDescent="0.45">
      <c r="A11" s="82"/>
      <c r="B11" s="27" t="s">
        <v>11</v>
      </c>
      <c r="C11" s="2">
        <f t="shared" ref="C11:I11" si="6">C6</f>
        <v>35000</v>
      </c>
      <c r="D11" s="2">
        <f t="shared" si="6"/>
        <v>29700</v>
      </c>
      <c r="E11" s="2">
        <f t="shared" si="6"/>
        <v>26500</v>
      </c>
      <c r="F11" s="2">
        <f t="shared" si="6"/>
        <v>23400</v>
      </c>
      <c r="G11" s="2">
        <f t="shared" si="6"/>
        <v>20200</v>
      </c>
      <c r="H11" s="2">
        <f t="shared" si="6"/>
        <v>17000</v>
      </c>
      <c r="I11" s="2">
        <f t="shared" si="6"/>
        <v>13800</v>
      </c>
      <c r="J11" s="19"/>
      <c r="K11" s="19"/>
      <c r="L11" s="19"/>
      <c r="M11" s="19"/>
      <c r="N11" s="19"/>
      <c r="O11" s="19"/>
    </row>
    <row r="12" spans="1:23" x14ac:dyDescent="0.45">
      <c r="A12" s="82"/>
      <c r="B12" s="58" t="s">
        <v>44</v>
      </c>
      <c r="C12" s="59">
        <f>C7</f>
        <v>18500</v>
      </c>
      <c r="D12" s="59">
        <f>C12</f>
        <v>18500</v>
      </c>
      <c r="E12" s="59">
        <f t="shared" ref="E12:I12" si="7">D12</f>
        <v>18500</v>
      </c>
      <c r="F12" s="59">
        <f t="shared" si="7"/>
        <v>18500</v>
      </c>
      <c r="G12" s="59">
        <f t="shared" si="7"/>
        <v>18500</v>
      </c>
      <c r="H12" s="59">
        <f t="shared" si="7"/>
        <v>18500</v>
      </c>
      <c r="I12" s="59">
        <f t="shared" si="7"/>
        <v>18500</v>
      </c>
      <c r="J12" s="19"/>
      <c r="K12" s="19"/>
      <c r="L12" s="19"/>
      <c r="M12" s="19"/>
      <c r="N12" s="19"/>
      <c r="O12" s="19"/>
    </row>
    <row r="13" spans="1:23" x14ac:dyDescent="0.45">
      <c r="A13" s="82"/>
      <c r="B13" s="58" t="s">
        <v>47</v>
      </c>
      <c r="C13" s="59">
        <f>(((C10-C11)*0.95)*2)-C12*2</f>
        <v>79090</v>
      </c>
      <c r="D13" s="59">
        <f t="shared" ref="D13:I13" si="8">(((D10-D11)*0.95)*2)-D12*2</f>
        <v>89160</v>
      </c>
      <c r="E13" s="59">
        <f t="shared" si="8"/>
        <v>95240</v>
      </c>
      <c r="F13" s="59">
        <f t="shared" si="8"/>
        <v>101130</v>
      </c>
      <c r="G13" s="59">
        <f t="shared" si="8"/>
        <v>107210</v>
      </c>
      <c r="H13" s="59">
        <f t="shared" si="8"/>
        <v>113290</v>
      </c>
      <c r="I13" s="59">
        <f t="shared" si="8"/>
        <v>119370</v>
      </c>
    </row>
    <row r="14" spans="1:23" x14ac:dyDescent="0.45">
      <c r="A14" s="82"/>
      <c r="B14" s="58" t="s">
        <v>48</v>
      </c>
      <c r="C14" s="59">
        <f>(C10-C11)-C12</f>
        <v>42600</v>
      </c>
      <c r="D14" s="59">
        <f t="shared" ref="D14:I14" si="9">(D10-D11)-D12</f>
        <v>47900</v>
      </c>
      <c r="E14" s="59">
        <f t="shared" si="9"/>
        <v>51100</v>
      </c>
      <c r="F14" s="59">
        <f t="shared" si="9"/>
        <v>54200</v>
      </c>
      <c r="G14" s="59">
        <f t="shared" si="9"/>
        <v>57400</v>
      </c>
      <c r="H14" s="59">
        <f t="shared" si="9"/>
        <v>60600</v>
      </c>
      <c r="I14" s="59">
        <f t="shared" si="9"/>
        <v>63800</v>
      </c>
    </row>
    <row r="15" spans="1:23" x14ac:dyDescent="0.45">
      <c r="A15" s="81" t="s">
        <v>40</v>
      </c>
      <c r="B15" s="27" t="s">
        <v>12</v>
      </c>
      <c r="C15" s="2">
        <f>C10*1.05</f>
        <v>100905</v>
      </c>
      <c r="D15" s="2">
        <f t="shared" ref="D15:G15" si="10">C15</f>
        <v>100905</v>
      </c>
      <c r="E15" s="2">
        <f t="shared" si="10"/>
        <v>100905</v>
      </c>
      <c r="F15" s="2">
        <f t="shared" si="10"/>
        <v>100905</v>
      </c>
      <c r="G15" s="2">
        <f t="shared" si="10"/>
        <v>100905</v>
      </c>
      <c r="H15" s="2">
        <f>H10*1.05</f>
        <v>100905</v>
      </c>
      <c r="I15" s="2">
        <f t="shared" ref="I15" si="11">H15</f>
        <v>100905</v>
      </c>
    </row>
    <row r="16" spans="1:23" x14ac:dyDescent="0.45">
      <c r="A16" s="82"/>
      <c r="B16" s="27" t="s">
        <v>11</v>
      </c>
      <c r="C16" s="2">
        <f t="shared" ref="C16:I16" si="12">C11</f>
        <v>35000</v>
      </c>
      <c r="D16" s="2">
        <f t="shared" si="12"/>
        <v>29700</v>
      </c>
      <c r="E16" s="2">
        <f t="shared" si="12"/>
        <v>26500</v>
      </c>
      <c r="F16" s="2">
        <f t="shared" si="12"/>
        <v>23400</v>
      </c>
      <c r="G16" s="2">
        <f t="shared" si="12"/>
        <v>20200</v>
      </c>
      <c r="H16" s="2">
        <f t="shared" si="12"/>
        <v>17000</v>
      </c>
      <c r="I16" s="2">
        <f t="shared" si="12"/>
        <v>13800</v>
      </c>
    </row>
    <row r="17" spans="1:15" x14ac:dyDescent="0.45">
      <c r="A17" s="82"/>
      <c r="B17" s="60" t="s">
        <v>44</v>
      </c>
      <c r="C17" s="61">
        <f>C12</f>
        <v>18500</v>
      </c>
      <c r="D17" s="61">
        <f>C17</f>
        <v>18500</v>
      </c>
      <c r="E17" s="61">
        <f t="shared" ref="E17:I17" si="13">D17</f>
        <v>18500</v>
      </c>
      <c r="F17" s="61">
        <f t="shared" si="13"/>
        <v>18500</v>
      </c>
      <c r="G17" s="61">
        <f t="shared" si="13"/>
        <v>18500</v>
      </c>
      <c r="H17" s="61">
        <f t="shared" si="13"/>
        <v>18500</v>
      </c>
      <c r="I17" s="61">
        <f t="shared" si="13"/>
        <v>18500</v>
      </c>
    </row>
    <row r="18" spans="1:15" x14ac:dyDescent="0.45">
      <c r="A18" s="82"/>
      <c r="B18" s="60" t="s">
        <v>47</v>
      </c>
      <c r="C18" s="61">
        <f>(((C15-C16)*0.95)*2)-C17*2</f>
        <v>88219.5</v>
      </c>
      <c r="D18" s="61">
        <f t="shared" ref="D18:I18" si="14">(((D15-D16)*0.95)*2)-D17*2</f>
        <v>98289.5</v>
      </c>
      <c r="E18" s="61">
        <f t="shared" si="14"/>
        <v>104369.5</v>
      </c>
      <c r="F18" s="61">
        <f t="shared" si="14"/>
        <v>110259.5</v>
      </c>
      <c r="G18" s="61">
        <f t="shared" si="14"/>
        <v>116339.5</v>
      </c>
      <c r="H18" s="61">
        <f t="shared" si="14"/>
        <v>122419.5</v>
      </c>
      <c r="I18" s="61">
        <f t="shared" si="14"/>
        <v>128499.5</v>
      </c>
    </row>
    <row r="19" spans="1:15" x14ac:dyDescent="0.45">
      <c r="A19" s="82"/>
      <c r="B19" s="60" t="s">
        <v>48</v>
      </c>
      <c r="C19" s="61">
        <f>(C15-C16)-C17</f>
        <v>47405</v>
      </c>
      <c r="D19" s="61">
        <f t="shared" ref="D19:I19" si="15">(D15-D16)-D17</f>
        <v>52705</v>
      </c>
      <c r="E19" s="61">
        <f t="shared" si="15"/>
        <v>55905</v>
      </c>
      <c r="F19" s="61">
        <f t="shared" si="15"/>
        <v>59005</v>
      </c>
      <c r="G19" s="61">
        <f t="shared" si="15"/>
        <v>62205</v>
      </c>
      <c r="H19" s="61">
        <f t="shared" si="15"/>
        <v>65405</v>
      </c>
      <c r="I19" s="61">
        <f t="shared" si="15"/>
        <v>68605</v>
      </c>
    </row>
    <row r="20" spans="1:15" x14ac:dyDescent="0.45">
      <c r="A20" s="81" t="s">
        <v>41</v>
      </c>
      <c r="B20" s="27" t="s">
        <v>12</v>
      </c>
      <c r="C20" s="2">
        <f>C15*1.05</f>
        <v>105950.25</v>
      </c>
      <c r="D20" s="2">
        <f t="shared" ref="D20:G20" si="16">C20</f>
        <v>105950.25</v>
      </c>
      <c r="E20" s="2">
        <f t="shared" si="16"/>
        <v>105950.25</v>
      </c>
      <c r="F20" s="2">
        <f t="shared" si="16"/>
        <v>105950.25</v>
      </c>
      <c r="G20" s="2">
        <f t="shared" si="16"/>
        <v>105950.25</v>
      </c>
      <c r="H20" s="2">
        <f>H15*1.05</f>
        <v>105950.25</v>
      </c>
      <c r="I20" s="2">
        <f t="shared" ref="I20" si="17">H20</f>
        <v>105950.25</v>
      </c>
    </row>
    <row r="21" spans="1:15" x14ac:dyDescent="0.45">
      <c r="A21" s="82"/>
      <c r="B21" s="27" t="s">
        <v>11</v>
      </c>
      <c r="C21" s="2">
        <f t="shared" ref="C21:I21" si="18">C16</f>
        <v>35000</v>
      </c>
      <c r="D21" s="2">
        <f t="shared" si="18"/>
        <v>29700</v>
      </c>
      <c r="E21" s="2">
        <f t="shared" si="18"/>
        <v>26500</v>
      </c>
      <c r="F21" s="2">
        <f t="shared" si="18"/>
        <v>23400</v>
      </c>
      <c r="G21" s="2">
        <f t="shared" si="18"/>
        <v>20200</v>
      </c>
      <c r="H21" s="2">
        <f t="shared" si="18"/>
        <v>17000</v>
      </c>
      <c r="I21" s="2">
        <f t="shared" si="18"/>
        <v>13800</v>
      </c>
    </row>
    <row r="22" spans="1:15" x14ac:dyDescent="0.45">
      <c r="A22" s="82"/>
      <c r="B22" s="62" t="s">
        <v>44</v>
      </c>
      <c r="C22" s="63">
        <f>C17</f>
        <v>18500</v>
      </c>
      <c r="D22" s="63">
        <f>C22</f>
        <v>18500</v>
      </c>
      <c r="E22" s="63">
        <f t="shared" ref="E22:I22" si="19">D22</f>
        <v>18500</v>
      </c>
      <c r="F22" s="63">
        <f t="shared" si="19"/>
        <v>18500</v>
      </c>
      <c r="G22" s="63">
        <f t="shared" si="19"/>
        <v>18500</v>
      </c>
      <c r="H22" s="63">
        <f t="shared" si="19"/>
        <v>18500</v>
      </c>
      <c r="I22" s="63">
        <f t="shared" si="19"/>
        <v>18500</v>
      </c>
    </row>
    <row r="23" spans="1:15" x14ac:dyDescent="0.45">
      <c r="A23" s="82"/>
      <c r="B23" s="62" t="s">
        <v>47</v>
      </c>
      <c r="C23" s="63">
        <f>(((C20-C21)*0.95)*2)-C22*2</f>
        <v>97805.475000000006</v>
      </c>
      <c r="D23" s="63">
        <f t="shared" ref="D23:I23" si="20">(((D20-D21)*0.95)*2)-D22*2</f>
        <v>107875.47500000001</v>
      </c>
      <c r="E23" s="63">
        <f t="shared" si="20"/>
        <v>113955.47500000001</v>
      </c>
      <c r="F23" s="63">
        <f t="shared" si="20"/>
        <v>119845.47500000001</v>
      </c>
      <c r="G23" s="63">
        <f t="shared" si="20"/>
        <v>125925.47500000001</v>
      </c>
      <c r="H23" s="63">
        <f t="shared" si="20"/>
        <v>132005.47500000001</v>
      </c>
      <c r="I23" s="63">
        <f t="shared" si="20"/>
        <v>138085.47500000001</v>
      </c>
    </row>
    <row r="24" spans="1:15" x14ac:dyDescent="0.45">
      <c r="A24" s="82"/>
      <c r="B24" s="62" t="s">
        <v>48</v>
      </c>
      <c r="C24" s="63">
        <f>(C20-C21)-C22</f>
        <v>52450.25</v>
      </c>
      <c r="D24" s="63">
        <f t="shared" ref="D24:I24" si="21">(D20-D21)-D22</f>
        <v>57750.25</v>
      </c>
      <c r="E24" s="63">
        <f t="shared" si="21"/>
        <v>60950.25</v>
      </c>
      <c r="F24" s="63">
        <f t="shared" si="21"/>
        <v>64050.25</v>
      </c>
      <c r="G24" s="63">
        <f t="shared" si="21"/>
        <v>67250.25</v>
      </c>
      <c r="H24" s="63">
        <f t="shared" si="21"/>
        <v>70450.25</v>
      </c>
      <c r="I24" s="63">
        <f t="shared" si="21"/>
        <v>73650.25</v>
      </c>
    </row>
    <row r="25" spans="1:15" x14ac:dyDescent="0.45">
      <c r="A25" s="83" t="s">
        <v>13</v>
      </c>
      <c r="B25" s="83"/>
      <c r="C25" s="63">
        <f t="shared" ref="C25:I25" si="22">SUM(C8,C13,C18,C23)</f>
        <v>338504.97499999998</v>
      </c>
      <c r="D25" s="63">
        <f t="shared" si="22"/>
        <v>378784.97499999998</v>
      </c>
      <c r="E25" s="63">
        <f t="shared" si="22"/>
        <v>403104.97499999998</v>
      </c>
      <c r="F25" s="63">
        <f t="shared" si="22"/>
        <v>426664.97499999998</v>
      </c>
      <c r="G25" s="63">
        <f t="shared" si="22"/>
        <v>450984.97499999998</v>
      </c>
      <c r="H25" s="63">
        <f t="shared" si="22"/>
        <v>475304.97499999998</v>
      </c>
      <c r="I25" s="63">
        <f t="shared" si="22"/>
        <v>499624.97499999998</v>
      </c>
    </row>
    <row r="26" spans="1:15" x14ac:dyDescent="0.45">
      <c r="A26" s="75" t="s">
        <v>14</v>
      </c>
      <c r="B26" s="76"/>
      <c r="C26" s="76"/>
      <c r="D26" s="76"/>
      <c r="E26" s="76"/>
      <c r="F26" s="76"/>
      <c r="G26" s="76"/>
      <c r="H26" s="76"/>
      <c r="I26" s="77"/>
      <c r="J26" s="19"/>
      <c r="K26" s="19"/>
      <c r="L26" s="19"/>
      <c r="M26" s="19"/>
      <c r="N26" s="19"/>
      <c r="O26" s="19"/>
    </row>
    <row r="27" spans="1:15" x14ac:dyDescent="0.45">
      <c r="A27" s="81" t="s">
        <v>38</v>
      </c>
      <c r="B27" s="15" t="s">
        <v>15</v>
      </c>
      <c r="C27" s="2">
        <f>C5*0.75</f>
        <v>69825</v>
      </c>
      <c r="D27" s="2">
        <f t="shared" ref="D27:G27" si="23">C27</f>
        <v>69825</v>
      </c>
      <c r="E27" s="2">
        <f t="shared" si="23"/>
        <v>69825</v>
      </c>
      <c r="F27" s="2">
        <f t="shared" si="23"/>
        <v>69825</v>
      </c>
      <c r="G27" s="2">
        <f t="shared" si="23"/>
        <v>69825</v>
      </c>
      <c r="H27" s="2">
        <f>H5*0.75</f>
        <v>69825</v>
      </c>
      <c r="I27" s="2">
        <f t="shared" ref="I27" si="24">H27</f>
        <v>69825</v>
      </c>
    </row>
    <row r="28" spans="1:15" x14ac:dyDescent="0.45">
      <c r="A28" s="82"/>
      <c r="B28" s="15" t="s">
        <v>11</v>
      </c>
      <c r="C28" s="2">
        <v>35000</v>
      </c>
      <c r="D28" s="2">
        <v>29700</v>
      </c>
      <c r="E28" s="2">
        <v>26500</v>
      </c>
      <c r="F28" s="2">
        <v>23400</v>
      </c>
      <c r="G28" s="2">
        <v>20200</v>
      </c>
      <c r="H28" s="2">
        <v>17000</v>
      </c>
      <c r="I28" s="2">
        <v>13800</v>
      </c>
    </row>
    <row r="29" spans="1:15" x14ac:dyDescent="0.45">
      <c r="A29" s="82"/>
      <c r="B29" s="23" t="s">
        <v>47</v>
      </c>
      <c r="C29" s="55">
        <f>((C27-C28)*0.95)*2</f>
        <v>66167.5</v>
      </c>
      <c r="D29" s="55">
        <f t="shared" ref="D29:I29" si="25">((D27-D28)*0.95)*2</f>
        <v>76237.5</v>
      </c>
      <c r="E29" s="55">
        <f t="shared" si="25"/>
        <v>82317.5</v>
      </c>
      <c r="F29" s="55">
        <f t="shared" si="25"/>
        <v>88207.5</v>
      </c>
      <c r="G29" s="55">
        <f t="shared" si="25"/>
        <v>94287.5</v>
      </c>
      <c r="H29" s="55">
        <f t="shared" si="25"/>
        <v>100367.5</v>
      </c>
      <c r="I29" s="55">
        <f t="shared" si="25"/>
        <v>106447.5</v>
      </c>
      <c r="J29" s="19"/>
      <c r="K29" s="19"/>
      <c r="L29" s="19"/>
      <c r="M29" s="19"/>
      <c r="N29" s="19"/>
      <c r="O29" s="19"/>
    </row>
    <row r="30" spans="1:15" x14ac:dyDescent="0.45">
      <c r="A30" s="82"/>
      <c r="B30" s="23" t="s">
        <v>48</v>
      </c>
      <c r="C30" s="55">
        <f>(C27-C28)</f>
        <v>34825</v>
      </c>
      <c r="D30" s="55">
        <f t="shared" ref="D30:I30" si="26">(D27-D28)</f>
        <v>40125</v>
      </c>
      <c r="E30" s="55">
        <f t="shared" si="26"/>
        <v>43325</v>
      </c>
      <c r="F30" s="55">
        <f t="shared" si="26"/>
        <v>46425</v>
      </c>
      <c r="G30" s="55">
        <f t="shared" si="26"/>
        <v>49625</v>
      </c>
      <c r="H30" s="55">
        <f t="shared" si="26"/>
        <v>52825</v>
      </c>
      <c r="I30" s="55">
        <f t="shared" si="26"/>
        <v>56025</v>
      </c>
      <c r="J30" s="19"/>
      <c r="K30" s="19"/>
      <c r="L30" s="19"/>
      <c r="M30" s="19"/>
      <c r="N30" s="19"/>
      <c r="O30" s="19"/>
    </row>
    <row r="31" spans="1:15" x14ac:dyDescent="0.45">
      <c r="A31" s="81" t="s">
        <v>39</v>
      </c>
      <c r="B31" s="15" t="s">
        <v>15</v>
      </c>
      <c r="C31" s="2">
        <f>C10*0.75</f>
        <v>72075</v>
      </c>
      <c r="D31" s="2">
        <f t="shared" ref="D31:G31" si="27">C31</f>
        <v>72075</v>
      </c>
      <c r="E31" s="2">
        <f t="shared" si="27"/>
        <v>72075</v>
      </c>
      <c r="F31" s="2">
        <f t="shared" si="27"/>
        <v>72075</v>
      </c>
      <c r="G31" s="2">
        <f t="shared" si="27"/>
        <v>72075</v>
      </c>
      <c r="H31" s="2">
        <f>G31</f>
        <v>72075</v>
      </c>
      <c r="I31" s="2">
        <f t="shared" ref="I31" si="28">H31</f>
        <v>72075</v>
      </c>
    </row>
    <row r="32" spans="1:15" x14ac:dyDescent="0.45">
      <c r="A32" s="82"/>
      <c r="B32" s="15" t="s">
        <v>11</v>
      </c>
      <c r="C32" s="2">
        <f t="shared" ref="C32:I32" si="29">C28</f>
        <v>35000</v>
      </c>
      <c r="D32" s="2">
        <f t="shared" si="29"/>
        <v>29700</v>
      </c>
      <c r="E32" s="2">
        <f t="shared" si="29"/>
        <v>26500</v>
      </c>
      <c r="F32" s="2">
        <f t="shared" si="29"/>
        <v>23400</v>
      </c>
      <c r="G32" s="2">
        <f t="shared" si="29"/>
        <v>20200</v>
      </c>
      <c r="H32" s="2">
        <f t="shared" si="29"/>
        <v>17000</v>
      </c>
      <c r="I32" s="2">
        <f t="shared" si="29"/>
        <v>13800</v>
      </c>
    </row>
    <row r="33" spans="1:9" x14ac:dyDescent="0.45">
      <c r="A33" s="82"/>
      <c r="B33" s="58" t="s">
        <v>47</v>
      </c>
      <c r="C33" s="59">
        <f>((C31-C32)*0.95)*2</f>
        <v>70442.5</v>
      </c>
      <c r="D33" s="59">
        <f t="shared" ref="D33:I33" si="30">((D31-D32)*0.95)*2</f>
        <v>80512.5</v>
      </c>
      <c r="E33" s="59">
        <f t="shared" si="30"/>
        <v>86592.5</v>
      </c>
      <c r="F33" s="59">
        <f t="shared" si="30"/>
        <v>92482.5</v>
      </c>
      <c r="G33" s="59">
        <f t="shared" si="30"/>
        <v>98562.5</v>
      </c>
      <c r="H33" s="59">
        <f t="shared" si="30"/>
        <v>104642.5</v>
      </c>
      <c r="I33" s="59">
        <f t="shared" si="30"/>
        <v>110722.5</v>
      </c>
    </row>
    <row r="34" spans="1:9" x14ac:dyDescent="0.45">
      <c r="A34" s="82"/>
      <c r="B34" s="33" t="s">
        <v>48</v>
      </c>
      <c r="C34" s="59">
        <f>(C31-C32)</f>
        <v>37075</v>
      </c>
      <c r="D34" s="59">
        <f t="shared" ref="D34:I34" si="31">(D31-D32)</f>
        <v>42375</v>
      </c>
      <c r="E34" s="59">
        <f t="shared" si="31"/>
        <v>45575</v>
      </c>
      <c r="F34" s="59">
        <f t="shared" si="31"/>
        <v>48675</v>
      </c>
      <c r="G34" s="59">
        <f t="shared" si="31"/>
        <v>51875</v>
      </c>
      <c r="H34" s="59">
        <f t="shared" si="31"/>
        <v>55075</v>
      </c>
      <c r="I34" s="59">
        <f t="shared" si="31"/>
        <v>58275</v>
      </c>
    </row>
    <row r="35" spans="1:9" x14ac:dyDescent="0.45">
      <c r="A35" s="81" t="s">
        <v>40</v>
      </c>
      <c r="B35" s="15" t="s">
        <v>15</v>
      </c>
      <c r="C35" s="2">
        <f>C31*1.05</f>
        <v>75678.75</v>
      </c>
      <c r="D35" s="2">
        <f t="shared" ref="D35:G35" si="32">C35</f>
        <v>75678.75</v>
      </c>
      <c r="E35" s="2">
        <f t="shared" si="32"/>
        <v>75678.75</v>
      </c>
      <c r="F35" s="2">
        <f t="shared" si="32"/>
        <v>75678.75</v>
      </c>
      <c r="G35" s="2">
        <f t="shared" si="32"/>
        <v>75678.75</v>
      </c>
      <c r="H35" s="2">
        <f>H31*1.05</f>
        <v>75678.75</v>
      </c>
      <c r="I35" s="2">
        <f t="shared" ref="I35" si="33">H35</f>
        <v>75678.75</v>
      </c>
    </row>
    <row r="36" spans="1:9" x14ac:dyDescent="0.45">
      <c r="A36" s="82"/>
      <c r="B36" s="15" t="s">
        <v>11</v>
      </c>
      <c r="C36" s="2">
        <f t="shared" ref="C36:I36" si="34">C32</f>
        <v>35000</v>
      </c>
      <c r="D36" s="2">
        <f t="shared" si="34"/>
        <v>29700</v>
      </c>
      <c r="E36" s="2">
        <f t="shared" si="34"/>
        <v>26500</v>
      </c>
      <c r="F36" s="2">
        <f t="shared" si="34"/>
        <v>23400</v>
      </c>
      <c r="G36" s="2">
        <f t="shared" si="34"/>
        <v>20200</v>
      </c>
      <c r="H36" s="2">
        <f t="shared" si="34"/>
        <v>17000</v>
      </c>
      <c r="I36" s="2">
        <f t="shared" si="34"/>
        <v>13800</v>
      </c>
    </row>
    <row r="37" spans="1:9" x14ac:dyDescent="0.45">
      <c r="A37" s="82"/>
      <c r="B37" s="60" t="s">
        <v>47</v>
      </c>
      <c r="C37" s="61">
        <f>((C35-C36)*0.95)*2</f>
        <v>77289.625</v>
      </c>
      <c r="D37" s="61">
        <f t="shared" ref="D37:I37" si="35">((D35-D36)*0.95)*2</f>
        <v>87359.625</v>
      </c>
      <c r="E37" s="61">
        <f t="shared" si="35"/>
        <v>93439.625</v>
      </c>
      <c r="F37" s="61">
        <f t="shared" si="35"/>
        <v>99329.625</v>
      </c>
      <c r="G37" s="61">
        <f t="shared" si="35"/>
        <v>105409.625</v>
      </c>
      <c r="H37" s="61">
        <f t="shared" si="35"/>
        <v>111489.625</v>
      </c>
      <c r="I37" s="61">
        <f t="shared" si="35"/>
        <v>117569.625</v>
      </c>
    </row>
    <row r="38" spans="1:9" x14ac:dyDescent="0.45">
      <c r="A38" s="82"/>
      <c r="B38" s="31" t="s">
        <v>48</v>
      </c>
      <c r="C38" s="61">
        <f>(C35-C36)</f>
        <v>40678.75</v>
      </c>
      <c r="D38" s="61">
        <f t="shared" ref="D38:I38" si="36">(D35-D36)</f>
        <v>45978.75</v>
      </c>
      <c r="E38" s="61">
        <f t="shared" si="36"/>
        <v>49178.75</v>
      </c>
      <c r="F38" s="61">
        <f t="shared" si="36"/>
        <v>52278.75</v>
      </c>
      <c r="G38" s="61">
        <f t="shared" si="36"/>
        <v>55478.75</v>
      </c>
      <c r="H38" s="61">
        <f t="shared" si="36"/>
        <v>58678.75</v>
      </c>
      <c r="I38" s="61">
        <f t="shared" si="36"/>
        <v>61878.75</v>
      </c>
    </row>
    <row r="39" spans="1:9" x14ac:dyDescent="0.45">
      <c r="A39" s="81" t="s">
        <v>41</v>
      </c>
      <c r="B39" s="15" t="s">
        <v>15</v>
      </c>
      <c r="C39" s="2">
        <f>C35*1.05</f>
        <v>79462.6875</v>
      </c>
      <c r="D39" s="2">
        <f t="shared" ref="D39:G39" si="37">C39</f>
        <v>79462.6875</v>
      </c>
      <c r="E39" s="2">
        <f t="shared" si="37"/>
        <v>79462.6875</v>
      </c>
      <c r="F39" s="2">
        <f t="shared" si="37"/>
        <v>79462.6875</v>
      </c>
      <c r="G39" s="2">
        <f t="shared" si="37"/>
        <v>79462.6875</v>
      </c>
      <c r="H39" s="2">
        <f>H35*1.05</f>
        <v>79462.6875</v>
      </c>
      <c r="I39" s="2">
        <f t="shared" ref="I39" si="38">H39</f>
        <v>79462.6875</v>
      </c>
    </row>
    <row r="40" spans="1:9" x14ac:dyDescent="0.45">
      <c r="A40" s="82"/>
      <c r="B40" s="15" t="s">
        <v>11</v>
      </c>
      <c r="C40" s="2">
        <f t="shared" ref="C40:I40" si="39">C36</f>
        <v>35000</v>
      </c>
      <c r="D40" s="2">
        <f t="shared" si="39"/>
        <v>29700</v>
      </c>
      <c r="E40" s="2">
        <f t="shared" si="39"/>
        <v>26500</v>
      </c>
      <c r="F40" s="2">
        <f t="shared" si="39"/>
        <v>23400</v>
      </c>
      <c r="G40" s="2">
        <f t="shared" si="39"/>
        <v>20200</v>
      </c>
      <c r="H40" s="2">
        <f t="shared" si="39"/>
        <v>17000</v>
      </c>
      <c r="I40" s="2">
        <f t="shared" si="39"/>
        <v>13800</v>
      </c>
    </row>
    <row r="41" spans="1:9" x14ac:dyDescent="0.45">
      <c r="A41" s="82"/>
      <c r="B41" s="62" t="s">
        <v>47</v>
      </c>
      <c r="C41" s="63">
        <f>((C39-C40)*0.95)*2</f>
        <v>84479.106249999997</v>
      </c>
      <c r="D41" s="63">
        <f t="shared" ref="D41:I41" si="40">((D39-D40)*0.95)*2</f>
        <v>94549.106249999997</v>
      </c>
      <c r="E41" s="63">
        <f t="shared" si="40"/>
        <v>100629.10625</v>
      </c>
      <c r="F41" s="63">
        <f t="shared" si="40"/>
        <v>106519.10625</v>
      </c>
      <c r="G41" s="63">
        <f t="shared" si="40"/>
        <v>112599.10625</v>
      </c>
      <c r="H41" s="63">
        <f t="shared" si="40"/>
        <v>118679.10625</v>
      </c>
      <c r="I41" s="63">
        <f t="shared" si="40"/>
        <v>124759.10625</v>
      </c>
    </row>
    <row r="42" spans="1:9" x14ac:dyDescent="0.45">
      <c r="A42" s="82"/>
      <c r="B42" s="32" t="s">
        <v>48</v>
      </c>
      <c r="C42" s="63">
        <f>(C39-C40)</f>
        <v>44462.6875</v>
      </c>
      <c r="D42" s="63">
        <f t="shared" ref="D42:I42" si="41">(D39-D40)</f>
        <v>49762.6875</v>
      </c>
      <c r="E42" s="63">
        <f t="shared" si="41"/>
        <v>52962.6875</v>
      </c>
      <c r="F42" s="63">
        <f t="shared" si="41"/>
        <v>56062.6875</v>
      </c>
      <c r="G42" s="63">
        <f t="shared" si="41"/>
        <v>59262.6875</v>
      </c>
      <c r="H42" s="63">
        <f t="shared" si="41"/>
        <v>62462.6875</v>
      </c>
      <c r="I42" s="63">
        <f t="shared" si="41"/>
        <v>65662.6875</v>
      </c>
    </row>
    <row r="43" spans="1:9" x14ac:dyDescent="0.45">
      <c r="A43" s="83" t="s">
        <v>13</v>
      </c>
      <c r="B43" s="83"/>
      <c r="C43" s="63">
        <f t="shared" ref="C43:I43" si="42">SUM(C29,C33,C37,C41)</f>
        <v>298378.73125000001</v>
      </c>
      <c r="D43" s="63">
        <f t="shared" si="42"/>
        <v>338658.73125000001</v>
      </c>
      <c r="E43" s="63">
        <f t="shared" si="42"/>
        <v>362978.73125000001</v>
      </c>
      <c r="F43" s="63">
        <f t="shared" si="42"/>
        <v>386538.73125000001</v>
      </c>
      <c r="G43" s="63">
        <f t="shared" si="42"/>
        <v>410858.73125000001</v>
      </c>
      <c r="H43" s="63">
        <f t="shared" si="42"/>
        <v>435178.73125000001</v>
      </c>
      <c r="I43" s="63">
        <f t="shared" si="42"/>
        <v>459498.73125000001</v>
      </c>
    </row>
    <row r="44" spans="1:9" ht="16" customHeight="1" x14ac:dyDescent="0.45">
      <c r="A44" s="84" t="s">
        <v>16</v>
      </c>
      <c r="B44" s="84"/>
      <c r="C44" s="84"/>
      <c r="D44" s="84"/>
      <c r="E44" s="84"/>
      <c r="F44" s="84"/>
      <c r="G44" s="84"/>
      <c r="H44" s="84"/>
      <c r="I44" s="84"/>
    </row>
    <row r="45" spans="1:9" ht="16" customHeight="1" x14ac:dyDescent="0.45">
      <c r="A45" s="84"/>
      <c r="B45" s="84"/>
      <c r="C45" s="84"/>
      <c r="D45" s="84"/>
      <c r="E45" s="84"/>
      <c r="F45" s="84"/>
      <c r="G45" s="84"/>
      <c r="H45" s="84"/>
      <c r="I45" s="84"/>
    </row>
    <row r="46" spans="1:9" ht="17.149999999999999" customHeight="1" x14ac:dyDescent="0.45">
      <c r="A46" s="84"/>
      <c r="B46" s="84"/>
      <c r="C46" s="84"/>
      <c r="D46" s="84"/>
      <c r="E46" s="84"/>
      <c r="F46" s="84"/>
      <c r="G46" s="84"/>
      <c r="H46" s="84"/>
      <c r="I46" s="84"/>
    </row>
    <row r="47" spans="1:9" x14ac:dyDescent="0.45">
      <c r="A47" s="85" t="s">
        <v>17</v>
      </c>
      <c r="B47" s="85"/>
      <c r="C47" s="86" t="s">
        <v>18</v>
      </c>
      <c r="D47" s="86"/>
      <c r="E47" s="7">
        <v>10000</v>
      </c>
      <c r="F47" s="57"/>
      <c r="G47" s="65"/>
      <c r="H47" s="56"/>
      <c r="I47" s="56"/>
    </row>
    <row r="48" spans="1:9" ht="16" customHeight="1" x14ac:dyDescent="0.45">
      <c r="A48" s="85"/>
      <c r="B48" s="85"/>
      <c r="C48" s="86" t="s">
        <v>19</v>
      </c>
      <c r="D48" s="86"/>
      <c r="E48" s="7">
        <v>3000</v>
      </c>
      <c r="F48" s="57"/>
      <c r="G48" s="65"/>
      <c r="H48" s="56"/>
      <c r="I48" s="56"/>
    </row>
    <row r="49" spans="1:9" ht="16" customHeight="1" x14ac:dyDescent="0.45">
      <c r="A49" s="85"/>
      <c r="B49" s="85"/>
      <c r="C49" s="87" t="s">
        <v>20</v>
      </c>
      <c r="D49" s="87"/>
      <c r="E49" s="7">
        <v>5000</v>
      </c>
      <c r="F49" s="66"/>
      <c r="G49" s="67"/>
      <c r="H49" s="56"/>
      <c r="I49" s="56"/>
    </row>
    <row r="50" spans="1:9" ht="33" customHeight="1" x14ac:dyDescent="0.45">
      <c r="A50" s="20" t="s">
        <v>21</v>
      </c>
      <c r="B50" s="20" t="s">
        <v>22</v>
      </c>
      <c r="C50" s="21" t="s">
        <v>23</v>
      </c>
      <c r="D50" s="21" t="s">
        <v>24</v>
      </c>
      <c r="E50" s="21" t="s">
        <v>25</v>
      </c>
      <c r="F50" s="21" t="s">
        <v>26</v>
      </c>
      <c r="G50" s="20" t="s">
        <v>27</v>
      </c>
      <c r="H50" s="20" t="s">
        <v>29</v>
      </c>
      <c r="I50" s="56"/>
    </row>
    <row r="51" spans="1:9" ht="14.5" customHeight="1" x14ac:dyDescent="0.45">
      <c r="A51" s="16" t="s">
        <v>30</v>
      </c>
      <c r="B51" s="7">
        <f>B52*2</f>
        <v>9000</v>
      </c>
      <c r="C51" s="7">
        <f t="shared" ref="C51:G51" si="43">C52*2</f>
        <v>7000</v>
      </c>
      <c r="D51" s="7">
        <v>1000</v>
      </c>
      <c r="E51" s="7">
        <f t="shared" si="43"/>
        <v>1500</v>
      </c>
      <c r="F51" s="7">
        <f t="shared" si="43"/>
        <v>1000</v>
      </c>
      <c r="G51" s="7">
        <f t="shared" si="43"/>
        <v>1000</v>
      </c>
      <c r="H51" s="7">
        <f>SUM(B51:G51)</f>
        <v>20500</v>
      </c>
      <c r="I51" s="56"/>
    </row>
    <row r="52" spans="1:9" ht="14.5" customHeight="1" x14ac:dyDescent="0.45">
      <c r="A52" s="16" t="s">
        <v>31</v>
      </c>
      <c r="B52" s="7">
        <v>4500</v>
      </c>
      <c r="C52" s="7">
        <v>3500</v>
      </c>
      <c r="D52" s="7">
        <v>1000</v>
      </c>
      <c r="E52" s="7">
        <v>750</v>
      </c>
      <c r="F52" s="7">
        <v>500</v>
      </c>
      <c r="G52" s="7">
        <v>500</v>
      </c>
      <c r="H52" s="7">
        <f>SUM(B52:G52)</f>
        <v>10750</v>
      </c>
      <c r="I52" s="56"/>
    </row>
    <row r="53" spans="1:9" x14ac:dyDescent="0.45">
      <c r="A53" s="73" t="s">
        <v>45</v>
      </c>
      <c r="B53" s="74"/>
      <c r="C53" s="74"/>
      <c r="D53" s="74"/>
      <c r="E53" s="74"/>
      <c r="F53" s="74"/>
      <c r="G53" s="74"/>
      <c r="H53" s="74"/>
      <c r="I53" s="88"/>
    </row>
    <row r="54" spans="1:9" ht="28" customHeight="1" x14ac:dyDescent="0.45">
      <c r="A54" s="73" t="s">
        <v>46</v>
      </c>
      <c r="B54" s="74"/>
      <c r="C54" s="74"/>
      <c r="D54" s="74"/>
      <c r="E54" s="74"/>
      <c r="F54" s="74"/>
      <c r="G54" s="74"/>
      <c r="H54" s="74"/>
      <c r="I54" s="88"/>
    </row>
    <row r="55" spans="1:9" x14ac:dyDescent="0.45">
      <c r="A55" s="73" t="s">
        <v>43</v>
      </c>
      <c r="B55" s="74"/>
      <c r="C55" s="74"/>
      <c r="D55" s="74"/>
      <c r="E55" s="74"/>
      <c r="F55" s="74"/>
      <c r="G55" s="74"/>
      <c r="H55" s="74"/>
      <c r="I55" s="88"/>
    </row>
    <row r="56" spans="1:9" x14ac:dyDescent="0.45">
      <c r="A56" s="73" t="s">
        <v>32</v>
      </c>
      <c r="B56" s="74"/>
      <c r="C56" s="74"/>
      <c r="D56" s="74"/>
      <c r="E56" s="74"/>
      <c r="F56" s="74"/>
      <c r="G56" s="74"/>
      <c r="H56" s="74"/>
      <c r="I56" s="88"/>
    </row>
    <row r="57" spans="1:9" x14ac:dyDescent="0.45">
      <c r="A57" s="73" t="s">
        <v>81</v>
      </c>
      <c r="B57" s="74"/>
      <c r="C57" s="74"/>
      <c r="D57" s="74"/>
      <c r="E57" s="74"/>
      <c r="F57" s="74"/>
      <c r="G57" s="74"/>
      <c r="H57" s="74"/>
      <c r="I57" s="88"/>
    </row>
    <row r="58" spans="1:9" ht="18" customHeight="1" x14ac:dyDescent="0.45">
      <c r="A58" s="73" t="s">
        <v>9</v>
      </c>
      <c r="B58" s="74"/>
      <c r="C58" s="74"/>
      <c r="D58" s="74"/>
      <c r="E58" s="74"/>
      <c r="F58" s="74"/>
      <c r="G58" s="74"/>
      <c r="H58" s="74"/>
      <c r="I58" s="88"/>
    </row>
  </sheetData>
  <mergeCells count="25">
    <mergeCell ref="A20:A24"/>
    <mergeCell ref="A25:B25"/>
    <mergeCell ref="A4:I4"/>
    <mergeCell ref="A27:A30"/>
    <mergeCell ref="A31:A34"/>
    <mergeCell ref="A1:I1"/>
    <mergeCell ref="A2:I2"/>
    <mergeCell ref="A5:A9"/>
    <mergeCell ref="A10:A14"/>
    <mergeCell ref="A15:A19"/>
    <mergeCell ref="A58:I58"/>
    <mergeCell ref="A26:I26"/>
    <mergeCell ref="A53:I53"/>
    <mergeCell ref="A54:I54"/>
    <mergeCell ref="A55:I55"/>
    <mergeCell ref="A56:I56"/>
    <mergeCell ref="A35:A38"/>
    <mergeCell ref="A39:A42"/>
    <mergeCell ref="A43:B43"/>
    <mergeCell ref="A57:I57"/>
    <mergeCell ref="A44:I46"/>
    <mergeCell ref="A47:B49"/>
    <mergeCell ref="C47:D47"/>
    <mergeCell ref="C48:D48"/>
    <mergeCell ref="C49:D49"/>
  </mergeCells>
  <pageMargins left="0.7" right="0.7" top="0.75" bottom="0.75" header="0.3" footer="0.3"/>
  <pageSetup paperSize="9"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58"/>
  <sheetViews>
    <sheetView zoomScale="87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23" ht="25.5" customHeight="1" x14ac:dyDescent="0.45">
      <c r="A1" s="71" t="s">
        <v>88</v>
      </c>
      <c r="B1" s="71"/>
      <c r="C1" s="71"/>
      <c r="D1" s="71"/>
      <c r="E1" s="71"/>
      <c r="F1" s="71"/>
      <c r="G1" s="71"/>
      <c r="H1" s="71"/>
      <c r="I1" s="71"/>
    </row>
    <row r="2" spans="1:23" ht="67.5" customHeight="1" x14ac:dyDescent="0.45">
      <c r="A2" s="72" t="s">
        <v>101</v>
      </c>
      <c r="B2" s="71"/>
      <c r="C2" s="71"/>
      <c r="D2" s="71"/>
      <c r="E2" s="71"/>
      <c r="F2" s="71"/>
      <c r="G2" s="71"/>
      <c r="H2" s="71"/>
      <c r="I2" s="71"/>
    </row>
    <row r="3" spans="1:23" ht="24" customHeight="1" x14ac:dyDescent="0.45">
      <c r="A3" s="43" t="s">
        <v>1</v>
      </c>
      <c r="B3" s="44" t="s">
        <v>2</v>
      </c>
      <c r="C3" s="43" t="s">
        <v>33</v>
      </c>
      <c r="D3" s="43" t="s">
        <v>34</v>
      </c>
      <c r="E3" s="43" t="s">
        <v>35</v>
      </c>
      <c r="F3" s="43" t="s">
        <v>36</v>
      </c>
      <c r="G3" s="43" t="s">
        <v>49</v>
      </c>
      <c r="H3" s="43" t="s">
        <v>50</v>
      </c>
      <c r="I3" s="43" t="s">
        <v>51</v>
      </c>
    </row>
    <row r="4" spans="1:23" x14ac:dyDescent="0.45">
      <c r="A4" s="78" t="s">
        <v>0</v>
      </c>
      <c r="B4" s="79"/>
      <c r="C4" s="79"/>
      <c r="D4" s="79"/>
      <c r="E4" s="79"/>
      <c r="F4" s="79"/>
      <c r="G4" s="79"/>
      <c r="H4" s="79"/>
      <c r="I4" s="80"/>
    </row>
    <row r="5" spans="1:23" x14ac:dyDescent="0.45">
      <c r="A5" s="81" t="s">
        <v>38</v>
      </c>
      <c r="B5" s="27" t="s">
        <v>10</v>
      </c>
      <c r="C5" s="2">
        <v>93100</v>
      </c>
      <c r="D5" s="2">
        <f>C5</f>
        <v>93100</v>
      </c>
      <c r="E5" s="2">
        <f t="shared" ref="E5:I5" si="0">D5</f>
        <v>93100</v>
      </c>
      <c r="F5" s="2">
        <f t="shared" si="0"/>
        <v>93100</v>
      </c>
      <c r="G5" s="2">
        <f t="shared" si="0"/>
        <v>93100</v>
      </c>
      <c r="H5" s="2">
        <f t="shared" si="0"/>
        <v>93100</v>
      </c>
      <c r="I5" s="2">
        <f t="shared" si="0"/>
        <v>93100</v>
      </c>
      <c r="J5" s="19"/>
      <c r="K5" s="19"/>
      <c r="L5" s="19"/>
    </row>
    <row r="6" spans="1:23" x14ac:dyDescent="0.45">
      <c r="A6" s="82"/>
      <c r="B6" s="27" t="s">
        <v>11</v>
      </c>
      <c r="C6" s="2">
        <v>35000</v>
      </c>
      <c r="D6" s="2">
        <v>29700</v>
      </c>
      <c r="E6" s="2">
        <v>26500</v>
      </c>
      <c r="F6" s="2">
        <v>23400</v>
      </c>
      <c r="G6" s="2">
        <v>20200</v>
      </c>
      <c r="H6" s="2">
        <v>17000</v>
      </c>
      <c r="I6" s="2">
        <v>13800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45">
      <c r="A7" s="82"/>
      <c r="B7" s="54" t="s">
        <v>44</v>
      </c>
      <c r="C7" s="55">
        <v>18500</v>
      </c>
      <c r="D7" s="55">
        <f>C7</f>
        <v>18500</v>
      </c>
      <c r="E7" s="55">
        <f t="shared" ref="E7:I7" si="1">D7</f>
        <v>18500</v>
      </c>
      <c r="F7" s="55">
        <f t="shared" si="1"/>
        <v>18500</v>
      </c>
      <c r="G7" s="55">
        <f t="shared" si="1"/>
        <v>18500</v>
      </c>
      <c r="H7" s="55">
        <f t="shared" si="1"/>
        <v>18500</v>
      </c>
      <c r="I7" s="55">
        <f t="shared" si="1"/>
        <v>18500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45">
      <c r="A8" s="82"/>
      <c r="B8" s="54" t="s">
        <v>47</v>
      </c>
      <c r="C8" s="55">
        <f>(((C5-C6)*0.95)*2)-C7*2</f>
        <v>73390</v>
      </c>
      <c r="D8" s="55">
        <f t="shared" ref="D8:I8" si="2">(((D5-D6)*0.95)*2)-D7*2</f>
        <v>83460</v>
      </c>
      <c r="E8" s="55">
        <f t="shared" si="2"/>
        <v>89540</v>
      </c>
      <c r="F8" s="55">
        <f t="shared" si="2"/>
        <v>95430</v>
      </c>
      <c r="G8" s="55">
        <f t="shared" si="2"/>
        <v>101510</v>
      </c>
      <c r="H8" s="55">
        <f t="shared" si="2"/>
        <v>107590</v>
      </c>
      <c r="I8" s="55">
        <f t="shared" si="2"/>
        <v>113670</v>
      </c>
      <c r="J8" s="19"/>
      <c r="K8" s="19"/>
      <c r="L8" s="19"/>
      <c r="M8" s="19"/>
      <c r="N8" s="19"/>
    </row>
    <row r="9" spans="1:23" x14ac:dyDescent="0.45">
      <c r="A9" s="82"/>
      <c r="B9" s="54" t="s">
        <v>48</v>
      </c>
      <c r="C9" s="55">
        <f>(C5-C6)-C7</f>
        <v>39600</v>
      </c>
      <c r="D9" s="55">
        <f t="shared" ref="D9:I9" si="3">(D5-D6)-D7</f>
        <v>44900</v>
      </c>
      <c r="E9" s="55">
        <f t="shared" si="3"/>
        <v>48100</v>
      </c>
      <c r="F9" s="55">
        <f t="shared" si="3"/>
        <v>51200</v>
      </c>
      <c r="G9" s="55">
        <f t="shared" si="3"/>
        <v>54400</v>
      </c>
      <c r="H9" s="55">
        <f t="shared" si="3"/>
        <v>57600</v>
      </c>
      <c r="I9" s="55">
        <f t="shared" si="3"/>
        <v>60800</v>
      </c>
      <c r="J9" s="19"/>
      <c r="K9" s="19"/>
      <c r="L9" s="19"/>
      <c r="M9" s="19"/>
      <c r="N9" s="19"/>
      <c r="O9" s="19"/>
    </row>
    <row r="10" spans="1:23" ht="16" customHeight="1" x14ac:dyDescent="0.45">
      <c r="A10" s="81" t="s">
        <v>39</v>
      </c>
      <c r="B10" s="27" t="s">
        <v>12</v>
      </c>
      <c r="C10" s="2">
        <v>96100</v>
      </c>
      <c r="D10" s="2">
        <f t="shared" ref="D10:G10" si="4">C10</f>
        <v>96100</v>
      </c>
      <c r="E10" s="2">
        <f t="shared" si="4"/>
        <v>96100</v>
      </c>
      <c r="F10" s="2">
        <f t="shared" si="4"/>
        <v>96100</v>
      </c>
      <c r="G10" s="2">
        <f t="shared" si="4"/>
        <v>96100</v>
      </c>
      <c r="H10" s="2">
        <f>G10</f>
        <v>96100</v>
      </c>
      <c r="I10" s="2">
        <f t="shared" ref="I10" si="5">H10</f>
        <v>96100</v>
      </c>
    </row>
    <row r="11" spans="1:23" x14ac:dyDescent="0.45">
      <c r="A11" s="82"/>
      <c r="B11" s="27" t="s">
        <v>11</v>
      </c>
      <c r="C11" s="2">
        <f t="shared" ref="C11:I11" si="6">C6</f>
        <v>35000</v>
      </c>
      <c r="D11" s="2">
        <f t="shared" si="6"/>
        <v>29700</v>
      </c>
      <c r="E11" s="2">
        <f t="shared" si="6"/>
        <v>26500</v>
      </c>
      <c r="F11" s="2">
        <f t="shared" si="6"/>
        <v>23400</v>
      </c>
      <c r="G11" s="2">
        <f t="shared" si="6"/>
        <v>20200</v>
      </c>
      <c r="H11" s="2">
        <f t="shared" si="6"/>
        <v>17000</v>
      </c>
      <c r="I11" s="2">
        <f t="shared" si="6"/>
        <v>13800</v>
      </c>
      <c r="J11" s="19"/>
      <c r="K11" s="19"/>
      <c r="L11" s="19"/>
      <c r="M11" s="19"/>
      <c r="N11" s="19"/>
      <c r="O11" s="19"/>
    </row>
    <row r="12" spans="1:23" x14ac:dyDescent="0.45">
      <c r="A12" s="82"/>
      <c r="B12" s="58" t="s">
        <v>44</v>
      </c>
      <c r="C12" s="59">
        <f>C7</f>
        <v>18500</v>
      </c>
      <c r="D12" s="59">
        <f>C12</f>
        <v>18500</v>
      </c>
      <c r="E12" s="59">
        <f t="shared" ref="E12:I12" si="7">D12</f>
        <v>18500</v>
      </c>
      <c r="F12" s="59">
        <f t="shared" si="7"/>
        <v>18500</v>
      </c>
      <c r="G12" s="59">
        <f t="shared" si="7"/>
        <v>18500</v>
      </c>
      <c r="H12" s="59">
        <f t="shared" si="7"/>
        <v>18500</v>
      </c>
      <c r="I12" s="59">
        <f t="shared" si="7"/>
        <v>18500</v>
      </c>
      <c r="J12" s="19"/>
      <c r="K12" s="19"/>
      <c r="L12" s="19"/>
      <c r="M12" s="19"/>
      <c r="N12" s="19"/>
      <c r="O12" s="19"/>
    </row>
    <row r="13" spans="1:23" x14ac:dyDescent="0.45">
      <c r="A13" s="82"/>
      <c r="B13" s="58" t="s">
        <v>47</v>
      </c>
      <c r="C13" s="59">
        <f>(((C10-C11)*0.95)*2)-C12*2</f>
        <v>79090</v>
      </c>
      <c r="D13" s="59">
        <f t="shared" ref="D13:I13" si="8">(((D10-D11)*0.95)*2)-D12*2</f>
        <v>89160</v>
      </c>
      <c r="E13" s="59">
        <f t="shared" si="8"/>
        <v>95240</v>
      </c>
      <c r="F13" s="59">
        <f t="shared" si="8"/>
        <v>101130</v>
      </c>
      <c r="G13" s="59">
        <f t="shared" si="8"/>
        <v>107210</v>
      </c>
      <c r="H13" s="59">
        <f t="shared" si="8"/>
        <v>113290</v>
      </c>
      <c r="I13" s="59">
        <f t="shared" si="8"/>
        <v>119370</v>
      </c>
    </row>
    <row r="14" spans="1:23" x14ac:dyDescent="0.45">
      <c r="A14" s="82"/>
      <c r="B14" s="58" t="s">
        <v>48</v>
      </c>
      <c r="C14" s="59">
        <f>(C10-C11)-C12</f>
        <v>42600</v>
      </c>
      <c r="D14" s="59">
        <f t="shared" ref="D14:I14" si="9">(D10-D11)-D12</f>
        <v>47900</v>
      </c>
      <c r="E14" s="59">
        <f t="shared" si="9"/>
        <v>51100</v>
      </c>
      <c r="F14" s="59">
        <f t="shared" si="9"/>
        <v>54200</v>
      </c>
      <c r="G14" s="59">
        <f t="shared" si="9"/>
        <v>57400</v>
      </c>
      <c r="H14" s="59">
        <f t="shared" si="9"/>
        <v>60600</v>
      </c>
      <c r="I14" s="59">
        <f t="shared" si="9"/>
        <v>63800</v>
      </c>
    </row>
    <row r="15" spans="1:23" x14ac:dyDescent="0.45">
      <c r="A15" s="81" t="s">
        <v>40</v>
      </c>
      <c r="B15" s="27" t="s">
        <v>12</v>
      </c>
      <c r="C15" s="2">
        <f>C10*1.05</f>
        <v>100905</v>
      </c>
      <c r="D15" s="2">
        <f t="shared" ref="D15:G15" si="10">C15</f>
        <v>100905</v>
      </c>
      <c r="E15" s="2">
        <f t="shared" si="10"/>
        <v>100905</v>
      </c>
      <c r="F15" s="2">
        <f t="shared" si="10"/>
        <v>100905</v>
      </c>
      <c r="G15" s="2">
        <f t="shared" si="10"/>
        <v>100905</v>
      </c>
      <c r="H15" s="2">
        <f>H10*1.05</f>
        <v>100905</v>
      </c>
      <c r="I15" s="2">
        <f t="shared" ref="I15" si="11">H15</f>
        <v>100905</v>
      </c>
    </row>
    <row r="16" spans="1:23" x14ac:dyDescent="0.45">
      <c r="A16" s="82"/>
      <c r="B16" s="27" t="s">
        <v>11</v>
      </c>
      <c r="C16" s="2">
        <f t="shared" ref="C16:I16" si="12">C11</f>
        <v>35000</v>
      </c>
      <c r="D16" s="2">
        <f t="shared" si="12"/>
        <v>29700</v>
      </c>
      <c r="E16" s="2">
        <f t="shared" si="12"/>
        <v>26500</v>
      </c>
      <c r="F16" s="2">
        <f t="shared" si="12"/>
        <v>23400</v>
      </c>
      <c r="G16" s="2">
        <f t="shared" si="12"/>
        <v>20200</v>
      </c>
      <c r="H16" s="2">
        <f t="shared" si="12"/>
        <v>17000</v>
      </c>
      <c r="I16" s="2">
        <f t="shared" si="12"/>
        <v>13800</v>
      </c>
    </row>
    <row r="17" spans="1:15" x14ac:dyDescent="0.45">
      <c r="A17" s="82"/>
      <c r="B17" s="60" t="s">
        <v>44</v>
      </c>
      <c r="C17" s="61">
        <f>C12</f>
        <v>18500</v>
      </c>
      <c r="D17" s="61">
        <f>C17</f>
        <v>18500</v>
      </c>
      <c r="E17" s="61">
        <f t="shared" ref="E17:I17" si="13">D17</f>
        <v>18500</v>
      </c>
      <c r="F17" s="61">
        <f t="shared" si="13"/>
        <v>18500</v>
      </c>
      <c r="G17" s="61">
        <f t="shared" si="13"/>
        <v>18500</v>
      </c>
      <c r="H17" s="61">
        <f t="shared" si="13"/>
        <v>18500</v>
      </c>
      <c r="I17" s="61">
        <f t="shared" si="13"/>
        <v>18500</v>
      </c>
    </row>
    <row r="18" spans="1:15" x14ac:dyDescent="0.45">
      <c r="A18" s="82"/>
      <c r="B18" s="60" t="s">
        <v>47</v>
      </c>
      <c r="C18" s="61">
        <f>(((C15-C16)*0.95)*2)-C17*2</f>
        <v>88219.5</v>
      </c>
      <c r="D18" s="61">
        <f t="shared" ref="D18:I18" si="14">(((D15-D16)*0.95)*2)-D17*2</f>
        <v>98289.5</v>
      </c>
      <c r="E18" s="61">
        <f t="shared" si="14"/>
        <v>104369.5</v>
      </c>
      <c r="F18" s="61">
        <f t="shared" si="14"/>
        <v>110259.5</v>
      </c>
      <c r="G18" s="61">
        <f t="shared" si="14"/>
        <v>116339.5</v>
      </c>
      <c r="H18" s="61">
        <f t="shared" si="14"/>
        <v>122419.5</v>
      </c>
      <c r="I18" s="61">
        <f t="shared" si="14"/>
        <v>128499.5</v>
      </c>
    </row>
    <row r="19" spans="1:15" x14ac:dyDescent="0.45">
      <c r="A19" s="82"/>
      <c r="B19" s="60" t="s">
        <v>48</v>
      </c>
      <c r="C19" s="61">
        <f>(C15-C16)-C17</f>
        <v>47405</v>
      </c>
      <c r="D19" s="61">
        <f t="shared" ref="D19:I19" si="15">(D15-D16)-D17</f>
        <v>52705</v>
      </c>
      <c r="E19" s="61">
        <f t="shared" si="15"/>
        <v>55905</v>
      </c>
      <c r="F19" s="61">
        <f t="shared" si="15"/>
        <v>59005</v>
      </c>
      <c r="G19" s="61">
        <f t="shared" si="15"/>
        <v>62205</v>
      </c>
      <c r="H19" s="61">
        <f t="shared" si="15"/>
        <v>65405</v>
      </c>
      <c r="I19" s="61">
        <f t="shared" si="15"/>
        <v>68605</v>
      </c>
    </row>
    <row r="20" spans="1:15" x14ac:dyDescent="0.45">
      <c r="A20" s="81" t="s">
        <v>41</v>
      </c>
      <c r="B20" s="27" t="s">
        <v>12</v>
      </c>
      <c r="C20" s="2">
        <f>C15*1.05</f>
        <v>105950.25</v>
      </c>
      <c r="D20" s="2">
        <f t="shared" ref="D20:G20" si="16">C20</f>
        <v>105950.25</v>
      </c>
      <c r="E20" s="2">
        <f t="shared" si="16"/>
        <v>105950.25</v>
      </c>
      <c r="F20" s="2">
        <f t="shared" si="16"/>
        <v>105950.25</v>
      </c>
      <c r="G20" s="2">
        <f t="shared" si="16"/>
        <v>105950.25</v>
      </c>
      <c r="H20" s="2">
        <f>H15*1.05</f>
        <v>105950.25</v>
      </c>
      <c r="I20" s="2">
        <f t="shared" ref="I20" si="17">H20</f>
        <v>105950.25</v>
      </c>
    </row>
    <row r="21" spans="1:15" x14ac:dyDescent="0.45">
      <c r="A21" s="82"/>
      <c r="B21" s="27" t="s">
        <v>11</v>
      </c>
      <c r="C21" s="2">
        <f t="shared" ref="C21:I21" si="18">C16</f>
        <v>35000</v>
      </c>
      <c r="D21" s="2">
        <f t="shared" si="18"/>
        <v>29700</v>
      </c>
      <c r="E21" s="2">
        <f t="shared" si="18"/>
        <v>26500</v>
      </c>
      <c r="F21" s="2">
        <f t="shared" si="18"/>
        <v>23400</v>
      </c>
      <c r="G21" s="2">
        <f t="shared" si="18"/>
        <v>20200</v>
      </c>
      <c r="H21" s="2">
        <f t="shared" si="18"/>
        <v>17000</v>
      </c>
      <c r="I21" s="2">
        <f t="shared" si="18"/>
        <v>13800</v>
      </c>
    </row>
    <row r="22" spans="1:15" x14ac:dyDescent="0.45">
      <c r="A22" s="82"/>
      <c r="B22" s="62" t="s">
        <v>44</v>
      </c>
      <c r="C22" s="63">
        <f>C17</f>
        <v>18500</v>
      </c>
      <c r="D22" s="63">
        <f>C22</f>
        <v>18500</v>
      </c>
      <c r="E22" s="63">
        <f t="shared" ref="E22:I22" si="19">D22</f>
        <v>18500</v>
      </c>
      <c r="F22" s="63">
        <f t="shared" si="19"/>
        <v>18500</v>
      </c>
      <c r="G22" s="63">
        <f t="shared" si="19"/>
        <v>18500</v>
      </c>
      <c r="H22" s="63">
        <f t="shared" si="19"/>
        <v>18500</v>
      </c>
      <c r="I22" s="63">
        <f t="shared" si="19"/>
        <v>18500</v>
      </c>
    </row>
    <row r="23" spans="1:15" x14ac:dyDescent="0.45">
      <c r="A23" s="82"/>
      <c r="B23" s="62" t="s">
        <v>47</v>
      </c>
      <c r="C23" s="63">
        <f>(((C20-C21)*0.95)*2)-C22*2</f>
        <v>97805.475000000006</v>
      </c>
      <c r="D23" s="63">
        <f t="shared" ref="D23:I23" si="20">(((D20-D21)*0.95)*2)-D22*2</f>
        <v>107875.47500000001</v>
      </c>
      <c r="E23" s="63">
        <f t="shared" si="20"/>
        <v>113955.47500000001</v>
      </c>
      <c r="F23" s="63">
        <f t="shared" si="20"/>
        <v>119845.47500000001</v>
      </c>
      <c r="G23" s="63">
        <f t="shared" si="20"/>
        <v>125925.47500000001</v>
      </c>
      <c r="H23" s="63">
        <f t="shared" si="20"/>
        <v>132005.47500000001</v>
      </c>
      <c r="I23" s="63">
        <f t="shared" si="20"/>
        <v>138085.47500000001</v>
      </c>
    </row>
    <row r="24" spans="1:15" x14ac:dyDescent="0.45">
      <c r="A24" s="82"/>
      <c r="B24" s="62" t="s">
        <v>48</v>
      </c>
      <c r="C24" s="63">
        <f>(C20-C21)-C22</f>
        <v>52450.25</v>
      </c>
      <c r="D24" s="63">
        <f t="shared" ref="D24:I24" si="21">(D20-D21)-D22</f>
        <v>57750.25</v>
      </c>
      <c r="E24" s="63">
        <f t="shared" si="21"/>
        <v>60950.25</v>
      </c>
      <c r="F24" s="63">
        <f t="shared" si="21"/>
        <v>64050.25</v>
      </c>
      <c r="G24" s="63">
        <f t="shared" si="21"/>
        <v>67250.25</v>
      </c>
      <c r="H24" s="63">
        <f t="shared" si="21"/>
        <v>70450.25</v>
      </c>
      <c r="I24" s="63">
        <f t="shared" si="21"/>
        <v>73650.25</v>
      </c>
    </row>
    <row r="25" spans="1:15" x14ac:dyDescent="0.45">
      <c r="A25" s="83" t="s">
        <v>13</v>
      </c>
      <c r="B25" s="83"/>
      <c r="C25" s="63">
        <f t="shared" ref="C25:I25" si="22">SUM(C8,C13,C18,C23)</f>
        <v>338504.97499999998</v>
      </c>
      <c r="D25" s="63">
        <f t="shared" si="22"/>
        <v>378784.97499999998</v>
      </c>
      <c r="E25" s="63">
        <f t="shared" si="22"/>
        <v>403104.97499999998</v>
      </c>
      <c r="F25" s="63">
        <f t="shared" si="22"/>
        <v>426664.97499999998</v>
      </c>
      <c r="G25" s="63">
        <f t="shared" si="22"/>
        <v>450984.97499999998</v>
      </c>
      <c r="H25" s="63">
        <f t="shared" si="22"/>
        <v>475304.97499999998</v>
      </c>
      <c r="I25" s="63">
        <f t="shared" si="22"/>
        <v>499624.97499999998</v>
      </c>
    </row>
    <row r="26" spans="1:15" x14ac:dyDescent="0.45">
      <c r="A26" s="75" t="s">
        <v>14</v>
      </c>
      <c r="B26" s="76"/>
      <c r="C26" s="76"/>
      <c r="D26" s="76"/>
      <c r="E26" s="76"/>
      <c r="F26" s="76"/>
      <c r="G26" s="76"/>
      <c r="H26" s="76"/>
      <c r="I26" s="77"/>
      <c r="J26" s="19"/>
      <c r="K26" s="19"/>
      <c r="L26" s="19"/>
      <c r="M26" s="19"/>
      <c r="N26" s="19"/>
      <c r="O26" s="19"/>
    </row>
    <row r="27" spans="1:15" x14ac:dyDescent="0.45">
      <c r="A27" s="81" t="s">
        <v>38</v>
      </c>
      <c r="B27" s="15" t="s">
        <v>15</v>
      </c>
      <c r="C27" s="2">
        <f>C5*0.75</f>
        <v>69825</v>
      </c>
      <c r="D27" s="2">
        <f t="shared" ref="D27:G27" si="23">C27</f>
        <v>69825</v>
      </c>
      <c r="E27" s="2">
        <f t="shared" si="23"/>
        <v>69825</v>
      </c>
      <c r="F27" s="2">
        <f t="shared" si="23"/>
        <v>69825</v>
      </c>
      <c r="G27" s="2">
        <f t="shared" si="23"/>
        <v>69825</v>
      </c>
      <c r="H27" s="2">
        <f>H5*0.75</f>
        <v>69825</v>
      </c>
      <c r="I27" s="2">
        <f t="shared" ref="I27" si="24">H27</f>
        <v>69825</v>
      </c>
    </row>
    <row r="28" spans="1:15" x14ac:dyDescent="0.45">
      <c r="A28" s="82"/>
      <c r="B28" s="15" t="s">
        <v>11</v>
      </c>
      <c r="C28" s="2">
        <v>35000</v>
      </c>
      <c r="D28" s="2">
        <v>29700</v>
      </c>
      <c r="E28" s="2">
        <v>26500</v>
      </c>
      <c r="F28" s="2">
        <v>23400</v>
      </c>
      <c r="G28" s="2">
        <v>20200</v>
      </c>
      <c r="H28" s="2">
        <v>17000</v>
      </c>
      <c r="I28" s="2">
        <v>13800</v>
      </c>
    </row>
    <row r="29" spans="1:15" x14ac:dyDescent="0.45">
      <c r="A29" s="82"/>
      <c r="B29" s="23" t="s">
        <v>47</v>
      </c>
      <c r="C29" s="55">
        <f>((C27-C28)*0.95)*2</f>
        <v>66167.5</v>
      </c>
      <c r="D29" s="55">
        <f t="shared" ref="D29:I29" si="25">((D27-D28)*0.95)*2</f>
        <v>76237.5</v>
      </c>
      <c r="E29" s="55">
        <f t="shared" si="25"/>
        <v>82317.5</v>
      </c>
      <c r="F29" s="55">
        <f t="shared" si="25"/>
        <v>88207.5</v>
      </c>
      <c r="G29" s="55">
        <f t="shared" si="25"/>
        <v>94287.5</v>
      </c>
      <c r="H29" s="55">
        <f t="shared" si="25"/>
        <v>100367.5</v>
      </c>
      <c r="I29" s="55">
        <f t="shared" si="25"/>
        <v>106447.5</v>
      </c>
      <c r="J29" s="19"/>
      <c r="K29" s="19"/>
      <c r="L29" s="19"/>
      <c r="M29" s="19"/>
      <c r="N29" s="19"/>
      <c r="O29" s="19"/>
    </row>
    <row r="30" spans="1:15" x14ac:dyDescent="0.45">
      <c r="A30" s="82"/>
      <c r="B30" s="23" t="s">
        <v>48</v>
      </c>
      <c r="C30" s="55">
        <f>(C27-C28)</f>
        <v>34825</v>
      </c>
      <c r="D30" s="55">
        <f t="shared" ref="D30:I30" si="26">(D27-D28)</f>
        <v>40125</v>
      </c>
      <c r="E30" s="55">
        <f t="shared" si="26"/>
        <v>43325</v>
      </c>
      <c r="F30" s="55">
        <f t="shared" si="26"/>
        <v>46425</v>
      </c>
      <c r="G30" s="55">
        <f t="shared" si="26"/>
        <v>49625</v>
      </c>
      <c r="H30" s="55">
        <f t="shared" si="26"/>
        <v>52825</v>
      </c>
      <c r="I30" s="55">
        <f t="shared" si="26"/>
        <v>56025</v>
      </c>
      <c r="J30" s="19"/>
      <c r="K30" s="19"/>
      <c r="L30" s="19"/>
      <c r="M30" s="19"/>
      <c r="N30" s="19"/>
      <c r="O30" s="19"/>
    </row>
    <row r="31" spans="1:15" x14ac:dyDescent="0.45">
      <c r="A31" s="81" t="s">
        <v>39</v>
      </c>
      <c r="B31" s="15" t="s">
        <v>15</v>
      </c>
      <c r="C31" s="2">
        <f>C10*0.75</f>
        <v>72075</v>
      </c>
      <c r="D31" s="2">
        <f t="shared" ref="D31:G31" si="27">C31</f>
        <v>72075</v>
      </c>
      <c r="E31" s="2">
        <f t="shared" si="27"/>
        <v>72075</v>
      </c>
      <c r="F31" s="2">
        <f t="shared" si="27"/>
        <v>72075</v>
      </c>
      <c r="G31" s="2">
        <f t="shared" si="27"/>
        <v>72075</v>
      </c>
      <c r="H31" s="2">
        <f>G31</f>
        <v>72075</v>
      </c>
      <c r="I31" s="2">
        <f t="shared" ref="I31" si="28">H31</f>
        <v>72075</v>
      </c>
    </row>
    <row r="32" spans="1:15" x14ac:dyDescent="0.45">
      <c r="A32" s="82"/>
      <c r="B32" s="15" t="s">
        <v>11</v>
      </c>
      <c r="C32" s="2">
        <f t="shared" ref="C32:I32" si="29">C28</f>
        <v>35000</v>
      </c>
      <c r="D32" s="2">
        <f t="shared" si="29"/>
        <v>29700</v>
      </c>
      <c r="E32" s="2">
        <f t="shared" si="29"/>
        <v>26500</v>
      </c>
      <c r="F32" s="2">
        <f t="shared" si="29"/>
        <v>23400</v>
      </c>
      <c r="G32" s="2">
        <f t="shared" si="29"/>
        <v>20200</v>
      </c>
      <c r="H32" s="2">
        <f t="shared" si="29"/>
        <v>17000</v>
      </c>
      <c r="I32" s="2">
        <f t="shared" si="29"/>
        <v>13800</v>
      </c>
    </row>
    <row r="33" spans="1:9" x14ac:dyDescent="0.45">
      <c r="A33" s="82"/>
      <c r="B33" s="58" t="s">
        <v>47</v>
      </c>
      <c r="C33" s="59">
        <f>((C31-C32)*0.95)*2</f>
        <v>70442.5</v>
      </c>
      <c r="D33" s="59">
        <f t="shared" ref="D33:I33" si="30">((D31-D32)*0.95)*2</f>
        <v>80512.5</v>
      </c>
      <c r="E33" s="59">
        <f t="shared" si="30"/>
        <v>86592.5</v>
      </c>
      <c r="F33" s="59">
        <f t="shared" si="30"/>
        <v>92482.5</v>
      </c>
      <c r="G33" s="59">
        <f t="shared" si="30"/>
        <v>98562.5</v>
      </c>
      <c r="H33" s="59">
        <f t="shared" si="30"/>
        <v>104642.5</v>
      </c>
      <c r="I33" s="59">
        <f t="shared" si="30"/>
        <v>110722.5</v>
      </c>
    </row>
    <row r="34" spans="1:9" x14ac:dyDescent="0.45">
      <c r="A34" s="82"/>
      <c r="B34" s="33" t="s">
        <v>48</v>
      </c>
      <c r="C34" s="59">
        <f>(C31-C32)</f>
        <v>37075</v>
      </c>
      <c r="D34" s="59">
        <f t="shared" ref="D34:I34" si="31">(D31-D32)</f>
        <v>42375</v>
      </c>
      <c r="E34" s="59">
        <f t="shared" si="31"/>
        <v>45575</v>
      </c>
      <c r="F34" s="59">
        <f t="shared" si="31"/>
        <v>48675</v>
      </c>
      <c r="G34" s="59">
        <f t="shared" si="31"/>
        <v>51875</v>
      </c>
      <c r="H34" s="59">
        <f t="shared" si="31"/>
        <v>55075</v>
      </c>
      <c r="I34" s="59">
        <f t="shared" si="31"/>
        <v>58275</v>
      </c>
    </row>
    <row r="35" spans="1:9" x14ac:dyDescent="0.45">
      <c r="A35" s="81" t="s">
        <v>40</v>
      </c>
      <c r="B35" s="15" t="s">
        <v>15</v>
      </c>
      <c r="C35" s="2">
        <f>C31*1.05</f>
        <v>75678.75</v>
      </c>
      <c r="D35" s="2">
        <f t="shared" ref="D35:G35" si="32">C35</f>
        <v>75678.75</v>
      </c>
      <c r="E35" s="2">
        <f t="shared" si="32"/>
        <v>75678.75</v>
      </c>
      <c r="F35" s="2">
        <f t="shared" si="32"/>
        <v>75678.75</v>
      </c>
      <c r="G35" s="2">
        <f t="shared" si="32"/>
        <v>75678.75</v>
      </c>
      <c r="H35" s="2">
        <f>H31*1.05</f>
        <v>75678.75</v>
      </c>
      <c r="I35" s="2">
        <f t="shared" ref="I35" si="33">H35</f>
        <v>75678.75</v>
      </c>
    </row>
    <row r="36" spans="1:9" x14ac:dyDescent="0.45">
      <c r="A36" s="82"/>
      <c r="B36" s="15" t="s">
        <v>11</v>
      </c>
      <c r="C36" s="2">
        <f t="shared" ref="C36:I36" si="34">C32</f>
        <v>35000</v>
      </c>
      <c r="D36" s="2">
        <f t="shared" si="34"/>
        <v>29700</v>
      </c>
      <c r="E36" s="2">
        <f t="shared" si="34"/>
        <v>26500</v>
      </c>
      <c r="F36" s="2">
        <f t="shared" si="34"/>
        <v>23400</v>
      </c>
      <c r="G36" s="2">
        <f t="shared" si="34"/>
        <v>20200</v>
      </c>
      <c r="H36" s="2">
        <f t="shared" si="34"/>
        <v>17000</v>
      </c>
      <c r="I36" s="2">
        <f t="shared" si="34"/>
        <v>13800</v>
      </c>
    </row>
    <row r="37" spans="1:9" x14ac:dyDescent="0.45">
      <c r="A37" s="82"/>
      <c r="B37" s="60" t="s">
        <v>47</v>
      </c>
      <c r="C37" s="61">
        <f>((C35-C36)*0.95)*2</f>
        <v>77289.625</v>
      </c>
      <c r="D37" s="61">
        <f t="shared" ref="D37:I37" si="35">((D35-D36)*0.95)*2</f>
        <v>87359.625</v>
      </c>
      <c r="E37" s="61">
        <f t="shared" si="35"/>
        <v>93439.625</v>
      </c>
      <c r="F37" s="61">
        <f t="shared" si="35"/>
        <v>99329.625</v>
      </c>
      <c r="G37" s="61">
        <f t="shared" si="35"/>
        <v>105409.625</v>
      </c>
      <c r="H37" s="61">
        <f t="shared" si="35"/>
        <v>111489.625</v>
      </c>
      <c r="I37" s="61">
        <f t="shared" si="35"/>
        <v>117569.625</v>
      </c>
    </row>
    <row r="38" spans="1:9" x14ac:dyDescent="0.45">
      <c r="A38" s="82"/>
      <c r="B38" s="31" t="s">
        <v>48</v>
      </c>
      <c r="C38" s="61">
        <f>(C35-C36)</f>
        <v>40678.75</v>
      </c>
      <c r="D38" s="61">
        <f t="shared" ref="D38:I38" si="36">(D35-D36)</f>
        <v>45978.75</v>
      </c>
      <c r="E38" s="61">
        <f t="shared" si="36"/>
        <v>49178.75</v>
      </c>
      <c r="F38" s="61">
        <f t="shared" si="36"/>
        <v>52278.75</v>
      </c>
      <c r="G38" s="61">
        <f t="shared" si="36"/>
        <v>55478.75</v>
      </c>
      <c r="H38" s="61">
        <f t="shared" si="36"/>
        <v>58678.75</v>
      </c>
      <c r="I38" s="61">
        <f t="shared" si="36"/>
        <v>61878.75</v>
      </c>
    </row>
    <row r="39" spans="1:9" x14ac:dyDescent="0.45">
      <c r="A39" s="81" t="s">
        <v>41</v>
      </c>
      <c r="B39" s="15" t="s">
        <v>15</v>
      </c>
      <c r="C39" s="2">
        <f>C35*1.05</f>
        <v>79462.6875</v>
      </c>
      <c r="D39" s="2">
        <f t="shared" ref="D39:G39" si="37">C39</f>
        <v>79462.6875</v>
      </c>
      <c r="E39" s="2">
        <f t="shared" si="37"/>
        <v>79462.6875</v>
      </c>
      <c r="F39" s="2">
        <f t="shared" si="37"/>
        <v>79462.6875</v>
      </c>
      <c r="G39" s="2">
        <f t="shared" si="37"/>
        <v>79462.6875</v>
      </c>
      <c r="H39" s="2">
        <f>H35*1.05</f>
        <v>79462.6875</v>
      </c>
      <c r="I39" s="2">
        <f t="shared" ref="I39" si="38">H39</f>
        <v>79462.6875</v>
      </c>
    </row>
    <row r="40" spans="1:9" x14ac:dyDescent="0.45">
      <c r="A40" s="82"/>
      <c r="B40" s="15" t="s">
        <v>11</v>
      </c>
      <c r="C40" s="2">
        <f t="shared" ref="C40:I40" si="39">C36</f>
        <v>35000</v>
      </c>
      <c r="D40" s="2">
        <f t="shared" si="39"/>
        <v>29700</v>
      </c>
      <c r="E40" s="2">
        <f t="shared" si="39"/>
        <v>26500</v>
      </c>
      <c r="F40" s="2">
        <f t="shared" si="39"/>
        <v>23400</v>
      </c>
      <c r="G40" s="2">
        <f t="shared" si="39"/>
        <v>20200</v>
      </c>
      <c r="H40" s="2">
        <f t="shared" si="39"/>
        <v>17000</v>
      </c>
      <c r="I40" s="2">
        <f t="shared" si="39"/>
        <v>13800</v>
      </c>
    </row>
    <row r="41" spans="1:9" x14ac:dyDescent="0.45">
      <c r="A41" s="82"/>
      <c r="B41" s="62" t="s">
        <v>47</v>
      </c>
      <c r="C41" s="63">
        <f>((C39-C40)*0.95)*2</f>
        <v>84479.106249999997</v>
      </c>
      <c r="D41" s="63">
        <f t="shared" ref="D41:I41" si="40">((D39-D40)*0.95)*2</f>
        <v>94549.106249999997</v>
      </c>
      <c r="E41" s="63">
        <f t="shared" si="40"/>
        <v>100629.10625</v>
      </c>
      <c r="F41" s="63">
        <f t="shared" si="40"/>
        <v>106519.10625</v>
      </c>
      <c r="G41" s="63">
        <f t="shared" si="40"/>
        <v>112599.10625</v>
      </c>
      <c r="H41" s="63">
        <f t="shared" si="40"/>
        <v>118679.10625</v>
      </c>
      <c r="I41" s="63">
        <f t="shared" si="40"/>
        <v>124759.10625</v>
      </c>
    </row>
    <row r="42" spans="1:9" x14ac:dyDescent="0.45">
      <c r="A42" s="82"/>
      <c r="B42" s="32" t="s">
        <v>48</v>
      </c>
      <c r="C42" s="63">
        <f>(C39-C40)</f>
        <v>44462.6875</v>
      </c>
      <c r="D42" s="63">
        <f t="shared" ref="D42:I42" si="41">(D39-D40)</f>
        <v>49762.6875</v>
      </c>
      <c r="E42" s="63">
        <f t="shared" si="41"/>
        <v>52962.6875</v>
      </c>
      <c r="F42" s="63">
        <f t="shared" si="41"/>
        <v>56062.6875</v>
      </c>
      <c r="G42" s="63">
        <f t="shared" si="41"/>
        <v>59262.6875</v>
      </c>
      <c r="H42" s="63">
        <f t="shared" si="41"/>
        <v>62462.6875</v>
      </c>
      <c r="I42" s="63">
        <f t="shared" si="41"/>
        <v>65662.6875</v>
      </c>
    </row>
    <row r="43" spans="1:9" x14ac:dyDescent="0.45">
      <c r="A43" s="83" t="s">
        <v>13</v>
      </c>
      <c r="B43" s="83"/>
      <c r="C43" s="63">
        <f t="shared" ref="C43:I43" si="42">SUM(C29,C33,C37,C41)</f>
        <v>298378.73125000001</v>
      </c>
      <c r="D43" s="63">
        <f t="shared" si="42"/>
        <v>338658.73125000001</v>
      </c>
      <c r="E43" s="63">
        <f t="shared" si="42"/>
        <v>362978.73125000001</v>
      </c>
      <c r="F43" s="63">
        <f t="shared" si="42"/>
        <v>386538.73125000001</v>
      </c>
      <c r="G43" s="63">
        <f t="shared" si="42"/>
        <v>410858.73125000001</v>
      </c>
      <c r="H43" s="63">
        <f t="shared" si="42"/>
        <v>435178.73125000001</v>
      </c>
      <c r="I43" s="63">
        <f t="shared" si="42"/>
        <v>459498.73125000001</v>
      </c>
    </row>
    <row r="44" spans="1:9" ht="16" customHeight="1" x14ac:dyDescent="0.45">
      <c r="A44" s="84" t="s">
        <v>16</v>
      </c>
      <c r="B44" s="84"/>
      <c r="C44" s="84"/>
      <c r="D44" s="84"/>
      <c r="E44" s="84"/>
      <c r="F44" s="84"/>
      <c r="G44" s="84"/>
      <c r="H44" s="84"/>
      <c r="I44" s="84"/>
    </row>
    <row r="45" spans="1:9" ht="16" customHeight="1" x14ac:dyDescent="0.45">
      <c r="A45" s="84"/>
      <c r="B45" s="84"/>
      <c r="C45" s="84"/>
      <c r="D45" s="84"/>
      <c r="E45" s="84"/>
      <c r="F45" s="84"/>
      <c r="G45" s="84"/>
      <c r="H45" s="84"/>
      <c r="I45" s="84"/>
    </row>
    <row r="46" spans="1:9" ht="17.149999999999999" customHeight="1" x14ac:dyDescent="0.45">
      <c r="A46" s="84"/>
      <c r="B46" s="84"/>
      <c r="C46" s="84"/>
      <c r="D46" s="84"/>
      <c r="E46" s="84"/>
      <c r="F46" s="84"/>
      <c r="G46" s="84"/>
      <c r="H46" s="84"/>
      <c r="I46" s="84"/>
    </row>
    <row r="47" spans="1:9" x14ac:dyDescent="0.45">
      <c r="A47" s="85" t="s">
        <v>17</v>
      </c>
      <c r="B47" s="85"/>
      <c r="C47" s="86" t="s">
        <v>18</v>
      </c>
      <c r="D47" s="86"/>
      <c r="E47" s="7">
        <v>10000</v>
      </c>
      <c r="F47" s="57"/>
      <c r="G47" s="65"/>
      <c r="H47" s="56"/>
      <c r="I47" s="56"/>
    </row>
    <row r="48" spans="1:9" ht="16" customHeight="1" x14ac:dyDescent="0.45">
      <c r="A48" s="85"/>
      <c r="B48" s="85"/>
      <c r="C48" s="86" t="s">
        <v>19</v>
      </c>
      <c r="D48" s="86"/>
      <c r="E48" s="7">
        <v>3000</v>
      </c>
      <c r="F48" s="57"/>
      <c r="G48" s="65"/>
      <c r="H48" s="56"/>
      <c r="I48" s="56"/>
    </row>
    <row r="49" spans="1:9" ht="16" customHeight="1" x14ac:dyDescent="0.45">
      <c r="A49" s="85"/>
      <c r="B49" s="85"/>
      <c r="C49" s="87" t="s">
        <v>20</v>
      </c>
      <c r="D49" s="87"/>
      <c r="E49" s="7">
        <v>5000</v>
      </c>
      <c r="F49" s="66"/>
      <c r="G49" s="67"/>
      <c r="H49" s="56"/>
      <c r="I49" s="56"/>
    </row>
    <row r="50" spans="1:9" ht="33" customHeight="1" x14ac:dyDescent="0.45">
      <c r="A50" s="20" t="s">
        <v>21</v>
      </c>
      <c r="B50" s="20" t="s">
        <v>22</v>
      </c>
      <c r="C50" s="21" t="s">
        <v>23</v>
      </c>
      <c r="D50" s="21" t="s">
        <v>24</v>
      </c>
      <c r="E50" s="21" t="s">
        <v>25</v>
      </c>
      <c r="F50" s="21" t="s">
        <v>26</v>
      </c>
      <c r="G50" s="20" t="s">
        <v>27</v>
      </c>
      <c r="H50" s="20" t="s">
        <v>29</v>
      </c>
      <c r="I50" s="56"/>
    </row>
    <row r="51" spans="1:9" ht="14.5" customHeight="1" x14ac:dyDescent="0.45">
      <c r="A51" s="16" t="s">
        <v>30</v>
      </c>
      <c r="B51" s="7">
        <f>B52*2</f>
        <v>9000</v>
      </c>
      <c r="C51" s="7">
        <f t="shared" ref="C51:G51" si="43">C52*2</f>
        <v>7000</v>
      </c>
      <c r="D51" s="7">
        <v>1000</v>
      </c>
      <c r="E51" s="7">
        <f t="shared" si="43"/>
        <v>1500</v>
      </c>
      <c r="F51" s="7">
        <f t="shared" si="43"/>
        <v>1000</v>
      </c>
      <c r="G51" s="7">
        <f t="shared" si="43"/>
        <v>1000</v>
      </c>
      <c r="H51" s="7">
        <f>SUM(B51:G51)</f>
        <v>20500</v>
      </c>
      <c r="I51" s="56"/>
    </row>
    <row r="52" spans="1:9" ht="14.5" customHeight="1" x14ac:dyDescent="0.45">
      <c r="A52" s="16" t="s">
        <v>31</v>
      </c>
      <c r="B52" s="7">
        <v>4500</v>
      </c>
      <c r="C52" s="7">
        <v>3500</v>
      </c>
      <c r="D52" s="7">
        <v>1000</v>
      </c>
      <c r="E52" s="7">
        <v>750</v>
      </c>
      <c r="F52" s="7">
        <v>500</v>
      </c>
      <c r="G52" s="7">
        <v>500</v>
      </c>
      <c r="H52" s="7">
        <f>SUM(B52:G52)</f>
        <v>10750</v>
      </c>
      <c r="I52" s="56"/>
    </row>
    <row r="53" spans="1:9" x14ac:dyDescent="0.45">
      <c r="A53" s="73" t="s">
        <v>45</v>
      </c>
      <c r="B53" s="74"/>
      <c r="C53" s="74"/>
      <c r="D53" s="74"/>
      <c r="E53" s="74"/>
      <c r="F53" s="74"/>
      <c r="G53" s="74"/>
      <c r="H53" s="74"/>
      <c r="I53" s="88"/>
    </row>
    <row r="54" spans="1:9" ht="28" customHeight="1" x14ac:dyDescent="0.45">
      <c r="A54" s="73" t="s">
        <v>46</v>
      </c>
      <c r="B54" s="74"/>
      <c r="C54" s="74"/>
      <c r="D54" s="74"/>
      <c r="E54" s="74"/>
      <c r="F54" s="74"/>
      <c r="G54" s="74"/>
      <c r="H54" s="74"/>
      <c r="I54" s="88"/>
    </row>
    <row r="55" spans="1:9" x14ac:dyDescent="0.45">
      <c r="A55" s="73" t="s">
        <v>43</v>
      </c>
      <c r="B55" s="74"/>
      <c r="C55" s="74"/>
      <c r="D55" s="74"/>
      <c r="E55" s="74"/>
      <c r="F55" s="74"/>
      <c r="G55" s="74"/>
      <c r="H55" s="74"/>
      <c r="I55" s="88"/>
    </row>
    <row r="56" spans="1:9" x14ac:dyDescent="0.45">
      <c r="A56" s="73" t="s">
        <v>32</v>
      </c>
      <c r="B56" s="74"/>
      <c r="C56" s="74"/>
      <c r="D56" s="74"/>
      <c r="E56" s="74"/>
      <c r="F56" s="74"/>
      <c r="G56" s="74"/>
      <c r="H56" s="74"/>
      <c r="I56" s="88"/>
    </row>
    <row r="57" spans="1:9" ht="28.75" customHeight="1" x14ac:dyDescent="0.45">
      <c r="A57" s="73" t="s">
        <v>81</v>
      </c>
      <c r="B57" s="74"/>
      <c r="C57" s="74"/>
      <c r="D57" s="74"/>
      <c r="E57" s="74"/>
      <c r="F57" s="74"/>
      <c r="G57" s="74"/>
      <c r="H57" s="74"/>
      <c r="I57" s="88"/>
    </row>
    <row r="58" spans="1:9" ht="18" customHeight="1" x14ac:dyDescent="0.45">
      <c r="A58" s="73" t="s">
        <v>9</v>
      </c>
      <c r="B58" s="74"/>
      <c r="C58" s="74"/>
      <c r="D58" s="74"/>
      <c r="E58" s="74"/>
      <c r="F58" s="74"/>
      <c r="G58" s="74"/>
      <c r="H58" s="74"/>
      <c r="I58" s="88"/>
    </row>
  </sheetData>
  <mergeCells count="25">
    <mergeCell ref="A20:A24"/>
    <mergeCell ref="A25:B25"/>
    <mergeCell ref="A4:I4"/>
    <mergeCell ref="A27:A30"/>
    <mergeCell ref="A31:A34"/>
    <mergeCell ref="A1:I1"/>
    <mergeCell ref="A2:I2"/>
    <mergeCell ref="A5:A9"/>
    <mergeCell ref="A10:A14"/>
    <mergeCell ref="A15:A19"/>
    <mergeCell ref="A58:I58"/>
    <mergeCell ref="A26:I26"/>
    <mergeCell ref="A53:I53"/>
    <mergeCell ref="A54:I54"/>
    <mergeCell ref="A55:I55"/>
    <mergeCell ref="A56:I56"/>
    <mergeCell ref="A35:A38"/>
    <mergeCell ref="A39:A42"/>
    <mergeCell ref="A43:B43"/>
    <mergeCell ref="A57:I57"/>
    <mergeCell ref="A44:I46"/>
    <mergeCell ref="A47:B49"/>
    <mergeCell ref="C47:D47"/>
    <mergeCell ref="C48:D48"/>
    <mergeCell ref="C49:D49"/>
  </mergeCells>
  <pageMargins left="0.7" right="0.7" top="0.75" bottom="0.75" header="0.3" footer="0.3"/>
  <pageSetup paperSize="9" scale="3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58"/>
  <sheetViews>
    <sheetView topLeftCell="A2" zoomScale="75" workbookViewId="0">
      <selection activeCell="C19" sqref="C19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23" ht="25.5" customHeight="1" x14ac:dyDescent="0.45">
      <c r="A1" s="71" t="s">
        <v>93</v>
      </c>
      <c r="B1" s="71"/>
      <c r="C1" s="71"/>
      <c r="D1" s="71"/>
      <c r="E1" s="71"/>
      <c r="F1" s="71"/>
      <c r="G1" s="71"/>
      <c r="H1" s="71"/>
      <c r="I1" s="71"/>
    </row>
    <row r="2" spans="1:23" ht="55.5" customHeight="1" x14ac:dyDescent="0.45">
      <c r="A2" s="72" t="s">
        <v>111</v>
      </c>
      <c r="B2" s="71"/>
      <c r="C2" s="71"/>
      <c r="D2" s="71"/>
      <c r="E2" s="71"/>
      <c r="F2" s="71"/>
      <c r="G2" s="71"/>
      <c r="H2" s="71"/>
      <c r="I2" s="71"/>
    </row>
    <row r="3" spans="1:23" ht="24" customHeight="1" x14ac:dyDescent="0.45">
      <c r="A3" s="43" t="s">
        <v>1</v>
      </c>
      <c r="B3" s="44" t="s">
        <v>2</v>
      </c>
      <c r="C3" s="43" t="s">
        <v>33</v>
      </c>
      <c r="D3" s="43" t="s">
        <v>34</v>
      </c>
      <c r="E3" s="43" t="s">
        <v>35</v>
      </c>
      <c r="F3" s="43" t="s">
        <v>36</v>
      </c>
      <c r="G3" s="43" t="s">
        <v>49</v>
      </c>
      <c r="H3" s="43" t="s">
        <v>50</v>
      </c>
      <c r="I3" s="43" t="s">
        <v>51</v>
      </c>
    </row>
    <row r="4" spans="1:23" x14ac:dyDescent="0.45">
      <c r="A4" s="75" t="s">
        <v>0</v>
      </c>
      <c r="B4" s="76"/>
      <c r="C4" s="76"/>
      <c r="D4" s="76"/>
      <c r="E4" s="76"/>
      <c r="F4" s="76"/>
      <c r="G4" s="76"/>
      <c r="H4" s="76"/>
      <c r="I4" s="76"/>
    </row>
    <row r="5" spans="1:23" x14ac:dyDescent="0.45">
      <c r="A5" s="81" t="s">
        <v>38</v>
      </c>
      <c r="B5" s="27" t="s">
        <v>10</v>
      </c>
      <c r="C5" s="2">
        <v>93100</v>
      </c>
      <c r="D5" s="2">
        <f>C5</f>
        <v>93100</v>
      </c>
      <c r="E5" s="2">
        <f t="shared" ref="E5:I5" si="0">D5</f>
        <v>93100</v>
      </c>
      <c r="F5" s="2">
        <f t="shared" si="0"/>
        <v>93100</v>
      </c>
      <c r="G5" s="2">
        <f t="shared" si="0"/>
        <v>93100</v>
      </c>
      <c r="H5" s="2">
        <f t="shared" si="0"/>
        <v>93100</v>
      </c>
      <c r="I5" s="2">
        <f t="shared" si="0"/>
        <v>93100</v>
      </c>
      <c r="J5" s="19"/>
      <c r="K5" s="19"/>
      <c r="L5" s="19"/>
    </row>
    <row r="6" spans="1:23" x14ac:dyDescent="0.45">
      <c r="A6" s="82"/>
      <c r="B6" s="27" t="s">
        <v>11</v>
      </c>
      <c r="C6" s="2">
        <v>35000</v>
      </c>
      <c r="D6" s="2">
        <v>29700</v>
      </c>
      <c r="E6" s="2">
        <v>26500</v>
      </c>
      <c r="F6" s="2">
        <v>23400</v>
      </c>
      <c r="G6" s="2">
        <v>20200</v>
      </c>
      <c r="H6" s="2">
        <v>17000</v>
      </c>
      <c r="I6" s="2">
        <v>13800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45">
      <c r="A7" s="82"/>
      <c r="B7" s="54" t="s">
        <v>44</v>
      </c>
      <c r="C7" s="55">
        <v>18500</v>
      </c>
      <c r="D7" s="55">
        <f>C7</f>
        <v>18500</v>
      </c>
      <c r="E7" s="55">
        <f t="shared" ref="E7:I7" si="1">D7</f>
        <v>18500</v>
      </c>
      <c r="F7" s="55">
        <f t="shared" si="1"/>
        <v>18500</v>
      </c>
      <c r="G7" s="55">
        <f t="shared" si="1"/>
        <v>18500</v>
      </c>
      <c r="H7" s="55">
        <f t="shared" si="1"/>
        <v>18500</v>
      </c>
      <c r="I7" s="55">
        <f t="shared" si="1"/>
        <v>18500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45">
      <c r="A8" s="82"/>
      <c r="B8" s="54" t="s">
        <v>47</v>
      </c>
      <c r="C8" s="55">
        <f>(((C5-C6)*0.95)*2)-C7*2</f>
        <v>73390</v>
      </c>
      <c r="D8" s="55">
        <f t="shared" ref="D8:I8" si="2">(((D5-D6)*0.95)*2)-D7*2</f>
        <v>83460</v>
      </c>
      <c r="E8" s="55">
        <f t="shared" si="2"/>
        <v>89540</v>
      </c>
      <c r="F8" s="55">
        <f t="shared" si="2"/>
        <v>95430</v>
      </c>
      <c r="G8" s="55">
        <f t="shared" si="2"/>
        <v>101510</v>
      </c>
      <c r="H8" s="55">
        <f t="shared" si="2"/>
        <v>107590</v>
      </c>
      <c r="I8" s="55">
        <f t="shared" si="2"/>
        <v>113670</v>
      </c>
      <c r="J8" s="19"/>
      <c r="K8" s="19"/>
      <c r="L8" s="19"/>
      <c r="M8" s="19"/>
      <c r="N8" s="19"/>
    </row>
    <row r="9" spans="1:23" x14ac:dyDescent="0.45">
      <c r="A9" s="82"/>
      <c r="B9" s="54" t="s">
        <v>48</v>
      </c>
      <c r="C9" s="55">
        <f>(C5-C6)-C7</f>
        <v>39600</v>
      </c>
      <c r="D9" s="55">
        <f t="shared" ref="D9:I9" si="3">(D5-D6)-D7</f>
        <v>44900</v>
      </c>
      <c r="E9" s="55">
        <f t="shared" si="3"/>
        <v>48100</v>
      </c>
      <c r="F9" s="55">
        <f t="shared" si="3"/>
        <v>51200</v>
      </c>
      <c r="G9" s="55">
        <f t="shared" si="3"/>
        <v>54400</v>
      </c>
      <c r="H9" s="55">
        <f t="shared" si="3"/>
        <v>57600</v>
      </c>
      <c r="I9" s="55">
        <f t="shared" si="3"/>
        <v>60800</v>
      </c>
      <c r="J9" s="19"/>
      <c r="K9" s="19"/>
      <c r="L9" s="19"/>
      <c r="M9" s="19"/>
      <c r="N9" s="19"/>
      <c r="O9" s="19"/>
    </row>
    <row r="10" spans="1:23" ht="16" customHeight="1" x14ac:dyDescent="0.45">
      <c r="A10" s="81" t="s">
        <v>39</v>
      </c>
      <c r="B10" s="27" t="s">
        <v>12</v>
      </c>
      <c r="C10" s="2">
        <v>96100</v>
      </c>
      <c r="D10" s="2">
        <f t="shared" ref="D10:G10" si="4">C10</f>
        <v>96100</v>
      </c>
      <c r="E10" s="2">
        <f t="shared" si="4"/>
        <v>96100</v>
      </c>
      <c r="F10" s="2">
        <f t="shared" si="4"/>
        <v>96100</v>
      </c>
      <c r="G10" s="2">
        <f t="shared" si="4"/>
        <v>96100</v>
      </c>
      <c r="H10" s="2">
        <f>G10</f>
        <v>96100</v>
      </c>
      <c r="I10" s="2">
        <f t="shared" ref="I10" si="5">H10</f>
        <v>96100</v>
      </c>
    </row>
    <row r="11" spans="1:23" x14ac:dyDescent="0.45">
      <c r="A11" s="82"/>
      <c r="B11" s="27" t="s">
        <v>11</v>
      </c>
      <c r="C11" s="2">
        <f t="shared" ref="C11:I11" si="6">C6</f>
        <v>35000</v>
      </c>
      <c r="D11" s="2">
        <f t="shared" si="6"/>
        <v>29700</v>
      </c>
      <c r="E11" s="2">
        <f t="shared" si="6"/>
        <v>26500</v>
      </c>
      <c r="F11" s="2">
        <f t="shared" si="6"/>
        <v>23400</v>
      </c>
      <c r="G11" s="2">
        <f t="shared" si="6"/>
        <v>20200</v>
      </c>
      <c r="H11" s="2">
        <f t="shared" si="6"/>
        <v>17000</v>
      </c>
      <c r="I11" s="2">
        <f t="shared" si="6"/>
        <v>13800</v>
      </c>
      <c r="J11" s="19"/>
      <c r="K11" s="19"/>
      <c r="L11" s="19"/>
      <c r="M11" s="19"/>
      <c r="N11" s="19"/>
      <c r="O11" s="19"/>
    </row>
    <row r="12" spans="1:23" x14ac:dyDescent="0.45">
      <c r="A12" s="82"/>
      <c r="B12" s="58" t="s">
        <v>44</v>
      </c>
      <c r="C12" s="59">
        <f>C7</f>
        <v>18500</v>
      </c>
      <c r="D12" s="59">
        <f>C12</f>
        <v>18500</v>
      </c>
      <c r="E12" s="59">
        <f t="shared" ref="E12:I12" si="7">D12</f>
        <v>18500</v>
      </c>
      <c r="F12" s="59">
        <f t="shared" si="7"/>
        <v>18500</v>
      </c>
      <c r="G12" s="59">
        <f t="shared" si="7"/>
        <v>18500</v>
      </c>
      <c r="H12" s="59">
        <f t="shared" si="7"/>
        <v>18500</v>
      </c>
      <c r="I12" s="59">
        <f t="shared" si="7"/>
        <v>18500</v>
      </c>
      <c r="J12" s="19"/>
      <c r="K12" s="19"/>
      <c r="L12" s="19"/>
      <c r="M12" s="19"/>
      <c r="N12" s="19"/>
      <c r="O12" s="19"/>
    </row>
    <row r="13" spans="1:23" x14ac:dyDescent="0.45">
      <c r="A13" s="82"/>
      <c r="B13" s="58" t="s">
        <v>47</v>
      </c>
      <c r="C13" s="59">
        <f>(((C10-C11)*0.95)*2)-C12*2</f>
        <v>79090</v>
      </c>
      <c r="D13" s="59">
        <f t="shared" ref="D13:I13" si="8">(((D10-D11)*0.95)*2)-D12*2</f>
        <v>89160</v>
      </c>
      <c r="E13" s="59">
        <f t="shared" si="8"/>
        <v>95240</v>
      </c>
      <c r="F13" s="59">
        <f t="shared" si="8"/>
        <v>101130</v>
      </c>
      <c r="G13" s="59">
        <f t="shared" si="8"/>
        <v>107210</v>
      </c>
      <c r="H13" s="59">
        <f t="shared" si="8"/>
        <v>113290</v>
      </c>
      <c r="I13" s="59">
        <f t="shared" si="8"/>
        <v>119370</v>
      </c>
    </row>
    <row r="14" spans="1:23" x14ac:dyDescent="0.45">
      <c r="A14" s="82"/>
      <c r="B14" s="58" t="s">
        <v>48</v>
      </c>
      <c r="C14" s="59">
        <f>(C10-C11)-C12</f>
        <v>42600</v>
      </c>
      <c r="D14" s="59">
        <f t="shared" ref="D14:I14" si="9">(D10-D11)-D12</f>
        <v>47900</v>
      </c>
      <c r="E14" s="59">
        <f t="shared" si="9"/>
        <v>51100</v>
      </c>
      <c r="F14" s="59">
        <f t="shared" si="9"/>
        <v>54200</v>
      </c>
      <c r="G14" s="59">
        <f t="shared" si="9"/>
        <v>57400</v>
      </c>
      <c r="H14" s="59">
        <f t="shared" si="9"/>
        <v>60600</v>
      </c>
      <c r="I14" s="59">
        <f t="shared" si="9"/>
        <v>63800</v>
      </c>
    </row>
    <row r="15" spans="1:23" x14ac:dyDescent="0.45">
      <c r="A15" s="81" t="s">
        <v>40</v>
      </c>
      <c r="B15" s="27" t="s">
        <v>12</v>
      </c>
      <c r="C15" s="2">
        <f>C10*1.05</f>
        <v>100905</v>
      </c>
      <c r="D15" s="2">
        <f t="shared" ref="D15:G15" si="10">C15</f>
        <v>100905</v>
      </c>
      <c r="E15" s="2">
        <f t="shared" si="10"/>
        <v>100905</v>
      </c>
      <c r="F15" s="2">
        <f t="shared" si="10"/>
        <v>100905</v>
      </c>
      <c r="G15" s="2">
        <f t="shared" si="10"/>
        <v>100905</v>
      </c>
      <c r="H15" s="2">
        <f>H10*1.05</f>
        <v>100905</v>
      </c>
      <c r="I15" s="2">
        <f t="shared" ref="I15" si="11">H15</f>
        <v>100905</v>
      </c>
    </row>
    <row r="16" spans="1:23" x14ac:dyDescent="0.45">
      <c r="A16" s="82"/>
      <c r="B16" s="27" t="s">
        <v>11</v>
      </c>
      <c r="C16" s="2">
        <f t="shared" ref="C16:I16" si="12">C11</f>
        <v>35000</v>
      </c>
      <c r="D16" s="2">
        <f t="shared" si="12"/>
        <v>29700</v>
      </c>
      <c r="E16" s="2">
        <f t="shared" si="12"/>
        <v>26500</v>
      </c>
      <c r="F16" s="2">
        <f t="shared" si="12"/>
        <v>23400</v>
      </c>
      <c r="G16" s="2">
        <f t="shared" si="12"/>
        <v>20200</v>
      </c>
      <c r="H16" s="2">
        <f t="shared" si="12"/>
        <v>17000</v>
      </c>
      <c r="I16" s="2">
        <f t="shared" si="12"/>
        <v>13800</v>
      </c>
    </row>
    <row r="17" spans="1:15" x14ac:dyDescent="0.45">
      <c r="A17" s="82"/>
      <c r="B17" s="60" t="s">
        <v>44</v>
      </c>
      <c r="C17" s="61">
        <f>C12</f>
        <v>18500</v>
      </c>
      <c r="D17" s="61">
        <f>C17</f>
        <v>18500</v>
      </c>
      <c r="E17" s="61">
        <f t="shared" ref="E17:I17" si="13">D17</f>
        <v>18500</v>
      </c>
      <c r="F17" s="61">
        <f t="shared" si="13"/>
        <v>18500</v>
      </c>
      <c r="G17" s="61">
        <f t="shared" si="13"/>
        <v>18500</v>
      </c>
      <c r="H17" s="61">
        <f t="shared" si="13"/>
        <v>18500</v>
      </c>
      <c r="I17" s="61">
        <f t="shared" si="13"/>
        <v>18500</v>
      </c>
    </row>
    <row r="18" spans="1:15" x14ac:dyDescent="0.45">
      <c r="A18" s="82"/>
      <c r="B18" s="60" t="s">
        <v>47</v>
      </c>
      <c r="C18" s="61">
        <f>(((C15-C16)*0.95)*2)-C17*2</f>
        <v>88219.5</v>
      </c>
      <c r="D18" s="61">
        <f t="shared" ref="D18:I18" si="14">(((D15-D16)*0.95)*2)-D17*2</f>
        <v>98289.5</v>
      </c>
      <c r="E18" s="61">
        <f t="shared" si="14"/>
        <v>104369.5</v>
      </c>
      <c r="F18" s="61">
        <f t="shared" si="14"/>
        <v>110259.5</v>
      </c>
      <c r="G18" s="61">
        <f t="shared" si="14"/>
        <v>116339.5</v>
      </c>
      <c r="H18" s="61">
        <f t="shared" si="14"/>
        <v>122419.5</v>
      </c>
      <c r="I18" s="61">
        <f t="shared" si="14"/>
        <v>128499.5</v>
      </c>
    </row>
    <row r="19" spans="1:15" x14ac:dyDescent="0.45">
      <c r="A19" s="82"/>
      <c r="B19" s="60" t="s">
        <v>48</v>
      </c>
      <c r="C19" s="61">
        <f>(C15-C16)-C17</f>
        <v>47405</v>
      </c>
      <c r="D19" s="61">
        <f t="shared" ref="D19:I19" si="15">(D15-D16)-D17</f>
        <v>52705</v>
      </c>
      <c r="E19" s="61">
        <f t="shared" si="15"/>
        <v>55905</v>
      </c>
      <c r="F19" s="61">
        <f t="shared" si="15"/>
        <v>59005</v>
      </c>
      <c r="G19" s="61">
        <f t="shared" si="15"/>
        <v>62205</v>
      </c>
      <c r="H19" s="61">
        <f t="shared" si="15"/>
        <v>65405</v>
      </c>
      <c r="I19" s="61">
        <f t="shared" si="15"/>
        <v>68605</v>
      </c>
    </row>
    <row r="20" spans="1:15" x14ac:dyDescent="0.45">
      <c r="A20" s="81" t="s">
        <v>41</v>
      </c>
      <c r="B20" s="27" t="s">
        <v>12</v>
      </c>
      <c r="C20" s="2">
        <f>C15*1.05</f>
        <v>105950.25</v>
      </c>
      <c r="D20" s="2">
        <f t="shared" ref="D20:G20" si="16">C20</f>
        <v>105950.25</v>
      </c>
      <c r="E20" s="2">
        <f t="shared" si="16"/>
        <v>105950.25</v>
      </c>
      <c r="F20" s="2">
        <f t="shared" si="16"/>
        <v>105950.25</v>
      </c>
      <c r="G20" s="2">
        <f t="shared" si="16"/>
        <v>105950.25</v>
      </c>
      <c r="H20" s="2">
        <f>H15*1.05</f>
        <v>105950.25</v>
      </c>
      <c r="I20" s="2">
        <f t="shared" ref="I20" si="17">H20</f>
        <v>105950.25</v>
      </c>
    </row>
    <row r="21" spans="1:15" x14ac:dyDescent="0.45">
      <c r="A21" s="82"/>
      <c r="B21" s="27" t="s">
        <v>11</v>
      </c>
      <c r="C21" s="2">
        <f t="shared" ref="C21:I21" si="18">C16</f>
        <v>35000</v>
      </c>
      <c r="D21" s="2">
        <f t="shared" si="18"/>
        <v>29700</v>
      </c>
      <c r="E21" s="2">
        <f t="shared" si="18"/>
        <v>26500</v>
      </c>
      <c r="F21" s="2">
        <f t="shared" si="18"/>
        <v>23400</v>
      </c>
      <c r="G21" s="2">
        <f t="shared" si="18"/>
        <v>20200</v>
      </c>
      <c r="H21" s="2">
        <f t="shared" si="18"/>
        <v>17000</v>
      </c>
      <c r="I21" s="2">
        <f t="shared" si="18"/>
        <v>13800</v>
      </c>
    </row>
    <row r="22" spans="1:15" x14ac:dyDescent="0.45">
      <c r="A22" s="82"/>
      <c r="B22" s="62" t="s">
        <v>44</v>
      </c>
      <c r="C22" s="63">
        <f>C17</f>
        <v>18500</v>
      </c>
      <c r="D22" s="63">
        <f>C22</f>
        <v>18500</v>
      </c>
      <c r="E22" s="63">
        <f t="shared" ref="E22:I22" si="19">D22</f>
        <v>18500</v>
      </c>
      <c r="F22" s="63">
        <f t="shared" si="19"/>
        <v>18500</v>
      </c>
      <c r="G22" s="63">
        <f t="shared" si="19"/>
        <v>18500</v>
      </c>
      <c r="H22" s="63">
        <f t="shared" si="19"/>
        <v>18500</v>
      </c>
      <c r="I22" s="63">
        <f t="shared" si="19"/>
        <v>18500</v>
      </c>
    </row>
    <row r="23" spans="1:15" x14ac:dyDescent="0.45">
      <c r="A23" s="82"/>
      <c r="B23" s="62" t="s">
        <v>47</v>
      </c>
      <c r="C23" s="63">
        <f>(((C20-C21)*0.95)*2)-C22*2</f>
        <v>97805.475000000006</v>
      </c>
      <c r="D23" s="63">
        <f t="shared" ref="D23:I23" si="20">(((D20-D21)*0.95)*2)-D22*2</f>
        <v>107875.47500000001</v>
      </c>
      <c r="E23" s="63">
        <f t="shared" si="20"/>
        <v>113955.47500000001</v>
      </c>
      <c r="F23" s="63">
        <f t="shared" si="20"/>
        <v>119845.47500000001</v>
      </c>
      <c r="G23" s="63">
        <f t="shared" si="20"/>
        <v>125925.47500000001</v>
      </c>
      <c r="H23" s="63">
        <f t="shared" si="20"/>
        <v>132005.47500000001</v>
      </c>
      <c r="I23" s="63">
        <f t="shared" si="20"/>
        <v>138085.47500000001</v>
      </c>
    </row>
    <row r="24" spans="1:15" x14ac:dyDescent="0.45">
      <c r="A24" s="82"/>
      <c r="B24" s="62" t="s">
        <v>48</v>
      </c>
      <c r="C24" s="63">
        <f>(C20-C21)-C22</f>
        <v>52450.25</v>
      </c>
      <c r="D24" s="63">
        <f t="shared" ref="D24:I24" si="21">(D20-D21)-D22</f>
        <v>57750.25</v>
      </c>
      <c r="E24" s="63">
        <f t="shared" si="21"/>
        <v>60950.25</v>
      </c>
      <c r="F24" s="63">
        <f t="shared" si="21"/>
        <v>64050.25</v>
      </c>
      <c r="G24" s="63">
        <f t="shared" si="21"/>
        <v>67250.25</v>
      </c>
      <c r="H24" s="63">
        <f t="shared" si="21"/>
        <v>70450.25</v>
      </c>
      <c r="I24" s="63">
        <f t="shared" si="21"/>
        <v>73650.25</v>
      </c>
    </row>
    <row r="25" spans="1:15" x14ac:dyDescent="0.45">
      <c r="A25" s="83" t="s">
        <v>13</v>
      </c>
      <c r="B25" s="83"/>
      <c r="C25" s="63">
        <f t="shared" ref="C25:I25" si="22">SUM(C8,C13,C18,C23)</f>
        <v>338504.97499999998</v>
      </c>
      <c r="D25" s="63">
        <f t="shared" si="22"/>
        <v>378784.97499999998</v>
      </c>
      <c r="E25" s="63">
        <f t="shared" si="22"/>
        <v>403104.97499999998</v>
      </c>
      <c r="F25" s="63">
        <f t="shared" si="22"/>
        <v>426664.97499999998</v>
      </c>
      <c r="G25" s="63">
        <f t="shared" si="22"/>
        <v>450984.97499999998</v>
      </c>
      <c r="H25" s="63">
        <f t="shared" si="22"/>
        <v>475304.97499999998</v>
      </c>
      <c r="I25" s="63">
        <f t="shared" si="22"/>
        <v>499624.97499999998</v>
      </c>
    </row>
    <row r="26" spans="1:15" x14ac:dyDescent="0.45">
      <c r="A26" s="56"/>
      <c r="B26" s="75" t="s">
        <v>14</v>
      </c>
      <c r="C26" s="76"/>
      <c r="D26" s="76"/>
      <c r="E26" s="76"/>
      <c r="F26" s="76"/>
      <c r="G26" s="76"/>
      <c r="H26" s="76"/>
      <c r="I26" s="76"/>
      <c r="J26" s="19"/>
      <c r="K26" s="19"/>
      <c r="L26" s="19"/>
      <c r="M26" s="19"/>
      <c r="N26" s="19"/>
      <c r="O26" s="19"/>
    </row>
    <row r="27" spans="1:15" x14ac:dyDescent="0.45">
      <c r="A27" s="81" t="s">
        <v>38</v>
      </c>
      <c r="B27" s="15" t="s">
        <v>15</v>
      </c>
      <c r="C27" s="2">
        <f>C5*0.75</f>
        <v>69825</v>
      </c>
      <c r="D27" s="2">
        <f t="shared" ref="D27:G27" si="23">C27</f>
        <v>69825</v>
      </c>
      <c r="E27" s="2">
        <f t="shared" si="23"/>
        <v>69825</v>
      </c>
      <c r="F27" s="2">
        <f t="shared" si="23"/>
        <v>69825</v>
      </c>
      <c r="G27" s="2">
        <f t="shared" si="23"/>
        <v>69825</v>
      </c>
      <c r="H27" s="2">
        <f>H5*0.75</f>
        <v>69825</v>
      </c>
      <c r="I27" s="2">
        <f t="shared" ref="I27" si="24">H27</f>
        <v>69825</v>
      </c>
    </row>
    <row r="28" spans="1:15" x14ac:dyDescent="0.45">
      <c r="A28" s="82"/>
      <c r="B28" s="15" t="s">
        <v>11</v>
      </c>
      <c r="C28" s="2">
        <v>35000</v>
      </c>
      <c r="D28" s="2">
        <v>29700</v>
      </c>
      <c r="E28" s="2">
        <v>26500</v>
      </c>
      <c r="F28" s="2">
        <v>23400</v>
      </c>
      <c r="G28" s="2">
        <v>20200</v>
      </c>
      <c r="H28" s="2">
        <v>17000</v>
      </c>
      <c r="I28" s="2">
        <v>13800</v>
      </c>
    </row>
    <row r="29" spans="1:15" x14ac:dyDescent="0.45">
      <c r="A29" s="82"/>
      <c r="B29" s="23" t="s">
        <v>47</v>
      </c>
      <c r="C29" s="55">
        <f>((C27-C28)*0.95)*2</f>
        <v>66167.5</v>
      </c>
      <c r="D29" s="55">
        <f t="shared" ref="D29:I29" si="25">((D27-D28)*0.95)*2</f>
        <v>76237.5</v>
      </c>
      <c r="E29" s="55">
        <f t="shared" si="25"/>
        <v>82317.5</v>
      </c>
      <c r="F29" s="55">
        <f t="shared" si="25"/>
        <v>88207.5</v>
      </c>
      <c r="G29" s="55">
        <f t="shared" si="25"/>
        <v>94287.5</v>
      </c>
      <c r="H29" s="55">
        <f t="shared" si="25"/>
        <v>100367.5</v>
      </c>
      <c r="I29" s="55">
        <f t="shared" si="25"/>
        <v>106447.5</v>
      </c>
      <c r="J29" s="19"/>
      <c r="K29" s="19"/>
      <c r="L29" s="19"/>
      <c r="M29" s="19"/>
      <c r="N29" s="19"/>
      <c r="O29" s="19"/>
    </row>
    <row r="30" spans="1:15" x14ac:dyDescent="0.45">
      <c r="A30" s="82"/>
      <c r="B30" s="23" t="s">
        <v>48</v>
      </c>
      <c r="C30" s="55">
        <f>(C27-C28)</f>
        <v>34825</v>
      </c>
      <c r="D30" s="55">
        <f t="shared" ref="D30:I30" si="26">(D27-D28)</f>
        <v>40125</v>
      </c>
      <c r="E30" s="55">
        <f t="shared" si="26"/>
        <v>43325</v>
      </c>
      <c r="F30" s="55">
        <f t="shared" si="26"/>
        <v>46425</v>
      </c>
      <c r="G30" s="55">
        <f t="shared" si="26"/>
        <v>49625</v>
      </c>
      <c r="H30" s="55">
        <f t="shared" si="26"/>
        <v>52825</v>
      </c>
      <c r="I30" s="55">
        <f t="shared" si="26"/>
        <v>56025</v>
      </c>
      <c r="J30" s="19"/>
      <c r="K30" s="19"/>
      <c r="L30" s="19"/>
      <c r="M30" s="19"/>
      <c r="N30" s="19"/>
      <c r="O30" s="19"/>
    </row>
    <row r="31" spans="1:15" x14ac:dyDescent="0.45">
      <c r="A31" s="81" t="s">
        <v>39</v>
      </c>
      <c r="B31" s="15" t="s">
        <v>15</v>
      </c>
      <c r="C31" s="2">
        <f>C10*0.75</f>
        <v>72075</v>
      </c>
      <c r="D31" s="2">
        <f t="shared" ref="D31:G31" si="27">C31</f>
        <v>72075</v>
      </c>
      <c r="E31" s="2">
        <f t="shared" si="27"/>
        <v>72075</v>
      </c>
      <c r="F31" s="2">
        <f t="shared" si="27"/>
        <v>72075</v>
      </c>
      <c r="G31" s="2">
        <f t="shared" si="27"/>
        <v>72075</v>
      </c>
      <c r="H31" s="2">
        <f>G31</f>
        <v>72075</v>
      </c>
      <c r="I31" s="2">
        <f t="shared" ref="I31" si="28">H31</f>
        <v>72075</v>
      </c>
    </row>
    <row r="32" spans="1:15" x14ac:dyDescent="0.45">
      <c r="A32" s="82"/>
      <c r="B32" s="15" t="s">
        <v>11</v>
      </c>
      <c r="C32" s="2">
        <f t="shared" ref="C32:I32" si="29">C28</f>
        <v>35000</v>
      </c>
      <c r="D32" s="2">
        <f t="shared" si="29"/>
        <v>29700</v>
      </c>
      <c r="E32" s="2">
        <f t="shared" si="29"/>
        <v>26500</v>
      </c>
      <c r="F32" s="2">
        <f t="shared" si="29"/>
        <v>23400</v>
      </c>
      <c r="G32" s="2">
        <f t="shared" si="29"/>
        <v>20200</v>
      </c>
      <c r="H32" s="2">
        <f t="shared" si="29"/>
        <v>17000</v>
      </c>
      <c r="I32" s="2">
        <f t="shared" si="29"/>
        <v>13800</v>
      </c>
    </row>
    <row r="33" spans="1:9" x14ac:dyDescent="0.45">
      <c r="A33" s="82"/>
      <c r="B33" s="58" t="s">
        <v>47</v>
      </c>
      <c r="C33" s="59">
        <f>((C31-C32)*0.95)*2</f>
        <v>70442.5</v>
      </c>
      <c r="D33" s="59">
        <f t="shared" ref="D33:I33" si="30">((D31-D32)*0.95)*2</f>
        <v>80512.5</v>
      </c>
      <c r="E33" s="59">
        <f t="shared" si="30"/>
        <v>86592.5</v>
      </c>
      <c r="F33" s="59">
        <f t="shared" si="30"/>
        <v>92482.5</v>
      </c>
      <c r="G33" s="59">
        <f t="shared" si="30"/>
        <v>98562.5</v>
      </c>
      <c r="H33" s="59">
        <f t="shared" si="30"/>
        <v>104642.5</v>
      </c>
      <c r="I33" s="59">
        <f t="shared" si="30"/>
        <v>110722.5</v>
      </c>
    </row>
    <row r="34" spans="1:9" x14ac:dyDescent="0.45">
      <c r="A34" s="82"/>
      <c r="B34" s="33" t="s">
        <v>48</v>
      </c>
      <c r="C34" s="59">
        <f>(C31-C32)</f>
        <v>37075</v>
      </c>
      <c r="D34" s="59">
        <f t="shared" ref="D34:I34" si="31">(D31-D32)</f>
        <v>42375</v>
      </c>
      <c r="E34" s="59">
        <f t="shared" si="31"/>
        <v>45575</v>
      </c>
      <c r="F34" s="59">
        <f t="shared" si="31"/>
        <v>48675</v>
      </c>
      <c r="G34" s="59">
        <f t="shared" si="31"/>
        <v>51875</v>
      </c>
      <c r="H34" s="59">
        <f t="shared" si="31"/>
        <v>55075</v>
      </c>
      <c r="I34" s="59">
        <f t="shared" si="31"/>
        <v>58275</v>
      </c>
    </row>
    <row r="35" spans="1:9" x14ac:dyDescent="0.45">
      <c r="A35" s="81" t="s">
        <v>40</v>
      </c>
      <c r="B35" s="15" t="s">
        <v>15</v>
      </c>
      <c r="C35" s="2">
        <f>C31*1.05</f>
        <v>75678.75</v>
      </c>
      <c r="D35" s="2">
        <f t="shared" ref="D35:G35" si="32">C35</f>
        <v>75678.75</v>
      </c>
      <c r="E35" s="2">
        <f t="shared" si="32"/>
        <v>75678.75</v>
      </c>
      <c r="F35" s="2">
        <f t="shared" si="32"/>
        <v>75678.75</v>
      </c>
      <c r="G35" s="2">
        <f t="shared" si="32"/>
        <v>75678.75</v>
      </c>
      <c r="H35" s="2">
        <f>H31*1.05</f>
        <v>75678.75</v>
      </c>
      <c r="I35" s="2">
        <f t="shared" ref="I35" si="33">H35</f>
        <v>75678.75</v>
      </c>
    </row>
    <row r="36" spans="1:9" x14ac:dyDescent="0.45">
      <c r="A36" s="82"/>
      <c r="B36" s="15" t="s">
        <v>11</v>
      </c>
      <c r="C36" s="2">
        <f t="shared" ref="C36:I36" si="34">C32</f>
        <v>35000</v>
      </c>
      <c r="D36" s="2">
        <f t="shared" si="34"/>
        <v>29700</v>
      </c>
      <c r="E36" s="2">
        <f t="shared" si="34"/>
        <v>26500</v>
      </c>
      <c r="F36" s="2">
        <f t="shared" si="34"/>
        <v>23400</v>
      </c>
      <c r="G36" s="2">
        <f t="shared" si="34"/>
        <v>20200</v>
      </c>
      <c r="H36" s="2">
        <f t="shared" si="34"/>
        <v>17000</v>
      </c>
      <c r="I36" s="2">
        <f t="shared" si="34"/>
        <v>13800</v>
      </c>
    </row>
    <row r="37" spans="1:9" x14ac:dyDescent="0.45">
      <c r="A37" s="82"/>
      <c r="B37" s="60" t="s">
        <v>47</v>
      </c>
      <c r="C37" s="61">
        <f>((C35-C36)*0.95)*2</f>
        <v>77289.625</v>
      </c>
      <c r="D37" s="61">
        <f t="shared" ref="D37:I37" si="35">((D35-D36)*0.95)*2</f>
        <v>87359.625</v>
      </c>
      <c r="E37" s="61">
        <f t="shared" si="35"/>
        <v>93439.625</v>
      </c>
      <c r="F37" s="61">
        <f t="shared" si="35"/>
        <v>99329.625</v>
      </c>
      <c r="G37" s="61">
        <f t="shared" si="35"/>
        <v>105409.625</v>
      </c>
      <c r="H37" s="61">
        <f t="shared" si="35"/>
        <v>111489.625</v>
      </c>
      <c r="I37" s="61">
        <f t="shared" si="35"/>
        <v>117569.625</v>
      </c>
    </row>
    <row r="38" spans="1:9" x14ac:dyDescent="0.45">
      <c r="A38" s="82"/>
      <c r="B38" s="31" t="s">
        <v>48</v>
      </c>
      <c r="C38" s="61">
        <f>(C35-C36)</f>
        <v>40678.75</v>
      </c>
      <c r="D38" s="61">
        <f t="shared" ref="D38:I38" si="36">(D35-D36)</f>
        <v>45978.75</v>
      </c>
      <c r="E38" s="61">
        <f t="shared" si="36"/>
        <v>49178.75</v>
      </c>
      <c r="F38" s="61">
        <f t="shared" si="36"/>
        <v>52278.75</v>
      </c>
      <c r="G38" s="61">
        <f t="shared" si="36"/>
        <v>55478.75</v>
      </c>
      <c r="H38" s="61">
        <f t="shared" si="36"/>
        <v>58678.75</v>
      </c>
      <c r="I38" s="61">
        <f t="shared" si="36"/>
        <v>61878.75</v>
      </c>
    </row>
    <row r="39" spans="1:9" x14ac:dyDescent="0.45">
      <c r="A39" s="81" t="s">
        <v>41</v>
      </c>
      <c r="B39" s="15" t="s">
        <v>15</v>
      </c>
      <c r="C39" s="2">
        <f>C35*1.05</f>
        <v>79462.6875</v>
      </c>
      <c r="D39" s="2">
        <f t="shared" ref="D39:G39" si="37">C39</f>
        <v>79462.6875</v>
      </c>
      <c r="E39" s="2">
        <f t="shared" si="37"/>
        <v>79462.6875</v>
      </c>
      <c r="F39" s="2">
        <f t="shared" si="37"/>
        <v>79462.6875</v>
      </c>
      <c r="G39" s="2">
        <f t="shared" si="37"/>
        <v>79462.6875</v>
      </c>
      <c r="H39" s="2">
        <f>H35*1.05</f>
        <v>79462.6875</v>
      </c>
      <c r="I39" s="2">
        <f t="shared" ref="I39" si="38">H39</f>
        <v>79462.6875</v>
      </c>
    </row>
    <row r="40" spans="1:9" x14ac:dyDescent="0.45">
      <c r="A40" s="82"/>
      <c r="B40" s="15" t="s">
        <v>11</v>
      </c>
      <c r="C40" s="2">
        <f t="shared" ref="C40:I40" si="39">C36</f>
        <v>35000</v>
      </c>
      <c r="D40" s="2">
        <f t="shared" si="39"/>
        <v>29700</v>
      </c>
      <c r="E40" s="2">
        <f t="shared" si="39"/>
        <v>26500</v>
      </c>
      <c r="F40" s="2">
        <f t="shared" si="39"/>
        <v>23400</v>
      </c>
      <c r="G40" s="2">
        <f t="shared" si="39"/>
        <v>20200</v>
      </c>
      <c r="H40" s="2">
        <f t="shared" si="39"/>
        <v>17000</v>
      </c>
      <c r="I40" s="2">
        <f t="shared" si="39"/>
        <v>13800</v>
      </c>
    </row>
    <row r="41" spans="1:9" x14ac:dyDescent="0.45">
      <c r="A41" s="82"/>
      <c r="B41" s="62" t="s">
        <v>47</v>
      </c>
      <c r="C41" s="63">
        <f>((C39-C40)*0.95)*2</f>
        <v>84479.106249999997</v>
      </c>
      <c r="D41" s="63">
        <f t="shared" ref="D41:I41" si="40">((D39-D40)*0.95)*2</f>
        <v>94549.106249999997</v>
      </c>
      <c r="E41" s="63">
        <f t="shared" si="40"/>
        <v>100629.10625</v>
      </c>
      <c r="F41" s="63">
        <f t="shared" si="40"/>
        <v>106519.10625</v>
      </c>
      <c r="G41" s="63">
        <f t="shared" si="40"/>
        <v>112599.10625</v>
      </c>
      <c r="H41" s="63">
        <f t="shared" si="40"/>
        <v>118679.10625</v>
      </c>
      <c r="I41" s="63">
        <f t="shared" si="40"/>
        <v>124759.10625</v>
      </c>
    </row>
    <row r="42" spans="1:9" x14ac:dyDescent="0.45">
      <c r="A42" s="82"/>
      <c r="B42" s="32" t="s">
        <v>48</v>
      </c>
      <c r="C42" s="63">
        <f>(C39-C40)</f>
        <v>44462.6875</v>
      </c>
      <c r="D42" s="63">
        <f t="shared" ref="D42:I42" si="41">(D39-D40)</f>
        <v>49762.6875</v>
      </c>
      <c r="E42" s="63">
        <f t="shared" si="41"/>
        <v>52962.6875</v>
      </c>
      <c r="F42" s="63">
        <f t="shared" si="41"/>
        <v>56062.6875</v>
      </c>
      <c r="G42" s="63">
        <f t="shared" si="41"/>
        <v>59262.6875</v>
      </c>
      <c r="H42" s="63">
        <f t="shared" si="41"/>
        <v>62462.6875</v>
      </c>
      <c r="I42" s="63">
        <f t="shared" si="41"/>
        <v>65662.6875</v>
      </c>
    </row>
    <row r="43" spans="1:9" x14ac:dyDescent="0.45">
      <c r="A43" s="83" t="s">
        <v>13</v>
      </c>
      <c r="B43" s="83"/>
      <c r="C43" s="63">
        <f t="shared" ref="C43:I43" si="42">SUM(C29,C33,C37,C41)</f>
        <v>298378.73125000001</v>
      </c>
      <c r="D43" s="63">
        <f t="shared" si="42"/>
        <v>338658.73125000001</v>
      </c>
      <c r="E43" s="63">
        <f t="shared" si="42"/>
        <v>362978.73125000001</v>
      </c>
      <c r="F43" s="63">
        <f t="shared" si="42"/>
        <v>386538.73125000001</v>
      </c>
      <c r="G43" s="63">
        <f t="shared" si="42"/>
        <v>410858.73125000001</v>
      </c>
      <c r="H43" s="63">
        <f t="shared" si="42"/>
        <v>435178.73125000001</v>
      </c>
      <c r="I43" s="63">
        <f t="shared" si="42"/>
        <v>459498.73125000001</v>
      </c>
    </row>
    <row r="44" spans="1:9" ht="16" customHeight="1" x14ac:dyDescent="0.45">
      <c r="A44" s="84" t="s">
        <v>16</v>
      </c>
      <c r="B44" s="84"/>
      <c r="C44" s="84"/>
      <c r="D44" s="84"/>
      <c r="E44" s="84"/>
      <c r="F44" s="84"/>
      <c r="G44" s="84"/>
      <c r="H44" s="84"/>
      <c r="I44" s="84"/>
    </row>
    <row r="45" spans="1:9" ht="16" customHeight="1" x14ac:dyDescent="0.45">
      <c r="A45" s="84"/>
      <c r="B45" s="84"/>
      <c r="C45" s="84"/>
      <c r="D45" s="84"/>
      <c r="E45" s="84"/>
      <c r="F45" s="84"/>
      <c r="G45" s="84"/>
      <c r="H45" s="84"/>
      <c r="I45" s="84"/>
    </row>
    <row r="46" spans="1:9" ht="17.149999999999999" customHeight="1" x14ac:dyDescent="0.45">
      <c r="A46" s="84"/>
      <c r="B46" s="84"/>
      <c r="C46" s="84"/>
      <c r="D46" s="84"/>
      <c r="E46" s="84"/>
      <c r="F46" s="84"/>
      <c r="G46" s="84"/>
      <c r="H46" s="84"/>
      <c r="I46" s="84"/>
    </row>
    <row r="47" spans="1:9" x14ac:dyDescent="0.45">
      <c r="A47" s="85" t="s">
        <v>17</v>
      </c>
      <c r="B47" s="85"/>
      <c r="C47" s="86" t="s">
        <v>18</v>
      </c>
      <c r="D47" s="86"/>
      <c r="E47" s="7">
        <v>10000</v>
      </c>
      <c r="F47" s="57"/>
      <c r="G47" s="65"/>
      <c r="H47" s="56"/>
      <c r="I47" s="56"/>
    </row>
    <row r="48" spans="1:9" ht="16" customHeight="1" x14ac:dyDescent="0.45">
      <c r="A48" s="85"/>
      <c r="B48" s="85"/>
      <c r="C48" s="86" t="s">
        <v>19</v>
      </c>
      <c r="D48" s="86"/>
      <c r="E48" s="7">
        <v>3000</v>
      </c>
      <c r="F48" s="57"/>
      <c r="G48" s="65"/>
      <c r="H48" s="56"/>
      <c r="I48" s="56"/>
    </row>
    <row r="49" spans="1:9" ht="16" customHeight="1" x14ac:dyDescent="0.45">
      <c r="A49" s="85"/>
      <c r="B49" s="85"/>
      <c r="C49" s="87" t="s">
        <v>20</v>
      </c>
      <c r="D49" s="87"/>
      <c r="E49" s="7">
        <v>5000</v>
      </c>
      <c r="F49" s="66"/>
      <c r="G49" s="67"/>
      <c r="H49" s="56"/>
      <c r="I49" s="56"/>
    </row>
    <row r="50" spans="1:9" ht="33" customHeight="1" x14ac:dyDescent="0.45">
      <c r="A50" s="20" t="s">
        <v>21</v>
      </c>
      <c r="B50" s="20" t="s">
        <v>22</v>
      </c>
      <c r="C50" s="21" t="s">
        <v>23</v>
      </c>
      <c r="D50" s="21" t="s">
        <v>24</v>
      </c>
      <c r="E50" s="21" t="s">
        <v>25</v>
      </c>
      <c r="F50" s="21" t="s">
        <v>26</v>
      </c>
      <c r="G50" s="20" t="s">
        <v>27</v>
      </c>
      <c r="H50" s="20" t="s">
        <v>29</v>
      </c>
      <c r="I50" s="56"/>
    </row>
    <row r="51" spans="1:9" ht="14.5" customHeight="1" x14ac:dyDescent="0.45">
      <c r="A51" s="16" t="s">
        <v>30</v>
      </c>
      <c r="B51" s="7">
        <f>B52*2</f>
        <v>9000</v>
      </c>
      <c r="C51" s="7">
        <f t="shared" ref="C51:G51" si="43">C52*2</f>
        <v>7000</v>
      </c>
      <c r="D51" s="7">
        <v>1000</v>
      </c>
      <c r="E51" s="7">
        <f t="shared" si="43"/>
        <v>1500</v>
      </c>
      <c r="F51" s="7">
        <f t="shared" si="43"/>
        <v>1000</v>
      </c>
      <c r="G51" s="7">
        <f t="shared" si="43"/>
        <v>1000</v>
      </c>
      <c r="H51" s="7">
        <f>SUM(B51:G51)</f>
        <v>20500</v>
      </c>
      <c r="I51" s="56"/>
    </row>
    <row r="52" spans="1:9" ht="14.5" customHeight="1" x14ac:dyDescent="0.45">
      <c r="A52" s="16" t="s">
        <v>31</v>
      </c>
      <c r="B52" s="7">
        <v>4500</v>
      </c>
      <c r="C52" s="7">
        <v>3500</v>
      </c>
      <c r="D52" s="7">
        <v>1000</v>
      </c>
      <c r="E52" s="7">
        <v>750</v>
      </c>
      <c r="F52" s="7">
        <v>500</v>
      </c>
      <c r="G52" s="7">
        <v>500</v>
      </c>
      <c r="H52" s="7">
        <f>SUM(B52:G52)</f>
        <v>10750</v>
      </c>
      <c r="I52" s="56"/>
    </row>
    <row r="53" spans="1:9" x14ac:dyDescent="0.45">
      <c r="A53" s="73" t="s">
        <v>45</v>
      </c>
      <c r="B53" s="74"/>
      <c r="C53" s="74"/>
      <c r="D53" s="74"/>
      <c r="E53" s="74"/>
      <c r="F53" s="74"/>
      <c r="G53" s="74"/>
      <c r="H53" s="74"/>
      <c r="I53" s="74"/>
    </row>
    <row r="54" spans="1:9" ht="28" customHeight="1" x14ac:dyDescent="0.45">
      <c r="A54" s="73" t="s">
        <v>46</v>
      </c>
      <c r="B54" s="74"/>
      <c r="C54" s="74"/>
      <c r="D54" s="74"/>
      <c r="E54" s="74"/>
      <c r="F54" s="74"/>
      <c r="G54" s="74"/>
      <c r="H54" s="74"/>
      <c r="I54" s="74"/>
    </row>
    <row r="55" spans="1:9" ht="45" customHeight="1" x14ac:dyDescent="0.45">
      <c r="A55" s="73" t="s">
        <v>43</v>
      </c>
      <c r="B55" s="74"/>
      <c r="C55" s="74"/>
      <c r="D55" s="74"/>
      <c r="E55" s="74"/>
      <c r="F55" s="74"/>
      <c r="G55" s="74"/>
      <c r="H55" s="74"/>
      <c r="I55" s="74"/>
    </row>
    <row r="56" spans="1:9" x14ac:dyDescent="0.45">
      <c r="A56" s="73" t="s">
        <v>32</v>
      </c>
      <c r="B56" s="74"/>
      <c r="C56" s="74"/>
      <c r="D56" s="74"/>
      <c r="E56" s="74"/>
      <c r="F56" s="74"/>
      <c r="G56" s="74"/>
      <c r="H56" s="74"/>
      <c r="I56" s="74"/>
    </row>
    <row r="57" spans="1:9" ht="28.75" customHeight="1" x14ac:dyDescent="0.45">
      <c r="A57" s="73" t="s">
        <v>81</v>
      </c>
      <c r="B57" s="74"/>
      <c r="C57" s="74"/>
      <c r="D57" s="74"/>
      <c r="E57" s="74"/>
      <c r="F57" s="74"/>
      <c r="G57" s="74"/>
      <c r="H57" s="74"/>
      <c r="I57" s="74"/>
    </row>
    <row r="58" spans="1:9" ht="18" customHeight="1" x14ac:dyDescent="0.45">
      <c r="A58" s="73" t="s">
        <v>9</v>
      </c>
      <c r="B58" s="74"/>
      <c r="C58" s="74"/>
      <c r="D58" s="74"/>
      <c r="E58" s="74"/>
      <c r="F58" s="74"/>
      <c r="G58" s="74"/>
      <c r="H58" s="74"/>
      <c r="I58" s="74"/>
    </row>
  </sheetData>
  <mergeCells count="25">
    <mergeCell ref="A2:I2"/>
    <mergeCell ref="A1:I1"/>
    <mergeCell ref="A47:B49"/>
    <mergeCell ref="C47:D47"/>
    <mergeCell ref="C48:D48"/>
    <mergeCell ref="C49:D49"/>
    <mergeCell ref="A27:A30"/>
    <mergeCell ref="A31:A34"/>
    <mergeCell ref="A35:A38"/>
    <mergeCell ref="A39:A42"/>
    <mergeCell ref="A43:B43"/>
    <mergeCell ref="A58:I58"/>
    <mergeCell ref="B26:I26"/>
    <mergeCell ref="A4:I4"/>
    <mergeCell ref="A53:I53"/>
    <mergeCell ref="A54:I54"/>
    <mergeCell ref="A55:I55"/>
    <mergeCell ref="A56:I56"/>
    <mergeCell ref="A57:I57"/>
    <mergeCell ref="A44:I46"/>
    <mergeCell ref="A5:A9"/>
    <mergeCell ref="A10:A14"/>
    <mergeCell ref="A15:A19"/>
    <mergeCell ref="A20:A24"/>
    <mergeCell ref="A25:B25"/>
  </mergeCells>
  <pageMargins left="0.7" right="0.7" top="0.75" bottom="0.75" header="0.3" footer="0.3"/>
  <pageSetup paperSize="9" scale="3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3"/>
  <sheetViews>
    <sheetView zoomScale="94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14" x14ac:dyDescent="0.45">
      <c r="A1" s="71" t="s">
        <v>90</v>
      </c>
      <c r="B1" s="71"/>
      <c r="C1" s="71"/>
      <c r="D1" s="71"/>
      <c r="E1" s="71"/>
      <c r="F1" s="71"/>
      <c r="G1" s="71"/>
      <c r="H1" s="71"/>
      <c r="I1" s="71"/>
    </row>
    <row r="2" spans="1:14" ht="44.25" customHeight="1" x14ac:dyDescent="0.45">
      <c r="A2" s="72" t="s">
        <v>129</v>
      </c>
      <c r="B2" s="71"/>
      <c r="C2" s="71"/>
      <c r="D2" s="71"/>
      <c r="E2" s="71"/>
      <c r="F2" s="71"/>
      <c r="G2" s="71"/>
      <c r="H2" s="71"/>
      <c r="I2" s="71"/>
    </row>
    <row r="3" spans="1:14" ht="85.4" customHeight="1" x14ac:dyDescent="0.45">
      <c r="A3" s="43" t="s">
        <v>1</v>
      </c>
      <c r="B3" s="44" t="s">
        <v>2</v>
      </c>
      <c r="C3" s="43" t="s">
        <v>3</v>
      </c>
      <c r="D3" s="43" t="s">
        <v>4</v>
      </c>
      <c r="E3" s="43" t="s">
        <v>5</v>
      </c>
      <c r="F3" s="43" t="s">
        <v>6</v>
      </c>
      <c r="G3" s="43" t="s">
        <v>7</v>
      </c>
      <c r="H3" s="43" t="s">
        <v>8</v>
      </c>
    </row>
    <row r="4" spans="1:14" x14ac:dyDescent="0.45">
      <c r="A4" s="78" t="s">
        <v>0</v>
      </c>
      <c r="B4" s="79"/>
      <c r="C4" s="79"/>
      <c r="D4" s="79"/>
      <c r="E4" s="79"/>
      <c r="F4" s="79"/>
      <c r="G4" s="79"/>
      <c r="H4" s="79"/>
      <c r="I4" s="80"/>
    </row>
    <row r="5" spans="1:14" x14ac:dyDescent="0.45">
      <c r="A5" s="81" t="s">
        <v>38</v>
      </c>
      <c r="B5" s="15" t="s">
        <v>10</v>
      </c>
      <c r="C5" s="2">
        <v>123100</v>
      </c>
      <c r="D5" s="2">
        <f>C5</f>
        <v>123100</v>
      </c>
      <c r="E5" s="2">
        <f t="shared" ref="E5:H5" si="0">D5</f>
        <v>123100</v>
      </c>
      <c r="F5" s="2">
        <f t="shared" si="0"/>
        <v>123100</v>
      </c>
      <c r="G5" s="2">
        <f t="shared" si="0"/>
        <v>123100</v>
      </c>
      <c r="H5" s="2">
        <f t="shared" si="0"/>
        <v>123100</v>
      </c>
      <c r="I5" s="19"/>
      <c r="J5" s="19"/>
      <c r="K5" s="19"/>
      <c r="L5" s="19"/>
      <c r="M5" s="19"/>
    </row>
    <row r="6" spans="1:14" x14ac:dyDescent="0.45">
      <c r="A6" s="82"/>
      <c r="B6" s="15" t="s">
        <v>11</v>
      </c>
      <c r="C6" s="2">
        <v>25400</v>
      </c>
      <c r="D6" s="2">
        <v>21400</v>
      </c>
      <c r="E6" s="2">
        <v>18400</v>
      </c>
      <c r="F6" s="2">
        <v>15400</v>
      </c>
      <c r="G6" s="2">
        <v>11400</v>
      </c>
      <c r="H6" s="2">
        <v>9400</v>
      </c>
    </row>
    <row r="7" spans="1:14" x14ac:dyDescent="0.45">
      <c r="A7" s="82"/>
      <c r="B7" s="60" t="s">
        <v>44</v>
      </c>
      <c r="C7" s="61">
        <v>25500</v>
      </c>
      <c r="D7" s="61">
        <f>C7</f>
        <v>25500</v>
      </c>
      <c r="E7" s="61">
        <f t="shared" ref="E7:H7" si="1">D7</f>
        <v>25500</v>
      </c>
      <c r="F7" s="61">
        <f t="shared" si="1"/>
        <v>25500</v>
      </c>
      <c r="G7" s="61">
        <f t="shared" si="1"/>
        <v>25500</v>
      </c>
      <c r="H7" s="61">
        <f t="shared" si="1"/>
        <v>25500</v>
      </c>
    </row>
    <row r="8" spans="1:14" x14ac:dyDescent="0.45">
      <c r="A8" s="82"/>
      <c r="B8" s="31" t="s">
        <v>47</v>
      </c>
      <c r="C8" s="61">
        <f>(((C5-C6)*0.95)*2)-C7*2</f>
        <v>134630</v>
      </c>
      <c r="D8" s="61">
        <f t="shared" ref="D8:G8" si="2">(((D5-D6)*0.95)*2)-D7*2</f>
        <v>142230</v>
      </c>
      <c r="E8" s="61">
        <f t="shared" si="2"/>
        <v>147930</v>
      </c>
      <c r="F8" s="61">
        <f t="shared" si="2"/>
        <v>153630</v>
      </c>
      <c r="G8" s="61">
        <f t="shared" si="2"/>
        <v>161230</v>
      </c>
      <c r="H8" s="61">
        <f>(((H5-H6)*0.95)*2)-H7*2</f>
        <v>165030</v>
      </c>
    </row>
    <row r="9" spans="1:14" x14ac:dyDescent="0.45">
      <c r="A9" s="82"/>
      <c r="B9" s="31" t="s">
        <v>48</v>
      </c>
      <c r="C9" s="61">
        <f>(C5-C6)-C7</f>
        <v>72200</v>
      </c>
      <c r="D9" s="61">
        <f t="shared" ref="D9:H9" si="3">(D5-D6)-D7</f>
        <v>76200</v>
      </c>
      <c r="E9" s="61">
        <f t="shared" si="3"/>
        <v>79200</v>
      </c>
      <c r="F9" s="61">
        <f t="shared" si="3"/>
        <v>82200</v>
      </c>
      <c r="G9" s="61">
        <f t="shared" si="3"/>
        <v>86200</v>
      </c>
      <c r="H9" s="61">
        <f t="shared" si="3"/>
        <v>88200</v>
      </c>
      <c r="I9" s="19"/>
      <c r="J9" s="19"/>
      <c r="K9" s="19"/>
      <c r="L9" s="19"/>
      <c r="M9" s="19"/>
      <c r="N9" s="19"/>
    </row>
    <row r="10" spans="1:14" ht="16" customHeight="1" x14ac:dyDescent="0.45">
      <c r="A10" s="81" t="s">
        <v>39</v>
      </c>
      <c r="B10" s="15" t="s">
        <v>12</v>
      </c>
      <c r="C10" s="2">
        <v>127600</v>
      </c>
      <c r="D10" s="2">
        <f t="shared" ref="D10:H10" si="4">C10</f>
        <v>127600</v>
      </c>
      <c r="E10" s="2">
        <f t="shared" si="4"/>
        <v>127600</v>
      </c>
      <c r="F10" s="2">
        <f t="shared" si="4"/>
        <v>127600</v>
      </c>
      <c r="G10" s="2">
        <f t="shared" si="4"/>
        <v>127600</v>
      </c>
      <c r="H10" s="2">
        <f t="shared" si="4"/>
        <v>127600</v>
      </c>
    </row>
    <row r="11" spans="1:14" x14ac:dyDescent="0.45">
      <c r="A11" s="82"/>
      <c r="B11" s="15" t="s">
        <v>11</v>
      </c>
      <c r="C11" s="2">
        <f t="shared" ref="C11:H11" si="5">C6</f>
        <v>25400</v>
      </c>
      <c r="D11" s="2">
        <f t="shared" si="5"/>
        <v>21400</v>
      </c>
      <c r="E11" s="2">
        <f t="shared" si="5"/>
        <v>18400</v>
      </c>
      <c r="F11" s="2">
        <f t="shared" si="5"/>
        <v>15400</v>
      </c>
      <c r="G11" s="2">
        <f t="shared" si="5"/>
        <v>11400</v>
      </c>
      <c r="H11" s="2">
        <f t="shared" si="5"/>
        <v>9400</v>
      </c>
    </row>
    <row r="12" spans="1:14" x14ac:dyDescent="0.45">
      <c r="A12" s="82"/>
      <c r="B12" s="62" t="s">
        <v>44</v>
      </c>
      <c r="C12" s="63">
        <f>C7</f>
        <v>25500</v>
      </c>
      <c r="D12" s="63">
        <f>C12</f>
        <v>25500</v>
      </c>
      <c r="E12" s="63">
        <f t="shared" ref="E12:H12" si="6">D12</f>
        <v>25500</v>
      </c>
      <c r="F12" s="63">
        <f t="shared" si="6"/>
        <v>25500</v>
      </c>
      <c r="G12" s="63">
        <f t="shared" si="6"/>
        <v>25500</v>
      </c>
      <c r="H12" s="63">
        <f t="shared" si="6"/>
        <v>25500</v>
      </c>
    </row>
    <row r="13" spans="1:14" x14ac:dyDescent="0.45">
      <c r="A13" s="82"/>
      <c r="B13" s="32" t="s">
        <v>47</v>
      </c>
      <c r="C13" s="63">
        <f>(((C10-C11)*0.95)*2)-C12*2</f>
        <v>143180</v>
      </c>
      <c r="D13" s="63">
        <f t="shared" ref="D13:H13" si="7">(((D10-D11)*0.95)*2)-D12*2</f>
        <v>150780</v>
      </c>
      <c r="E13" s="63">
        <f t="shared" si="7"/>
        <v>156480</v>
      </c>
      <c r="F13" s="63">
        <f t="shared" si="7"/>
        <v>162180</v>
      </c>
      <c r="G13" s="63">
        <f t="shared" si="7"/>
        <v>169780</v>
      </c>
      <c r="H13" s="63">
        <f t="shared" si="7"/>
        <v>173580</v>
      </c>
    </row>
    <row r="14" spans="1:14" x14ac:dyDescent="0.45">
      <c r="A14" s="82"/>
      <c r="B14" s="32" t="s">
        <v>48</v>
      </c>
      <c r="C14" s="63">
        <f>(C10-C11)-C12</f>
        <v>76700</v>
      </c>
      <c r="D14" s="63">
        <f t="shared" ref="D14:H14" si="8">(D10-D11)-D12</f>
        <v>80700</v>
      </c>
      <c r="E14" s="63">
        <f t="shared" si="8"/>
        <v>83700</v>
      </c>
      <c r="F14" s="63">
        <f t="shared" si="8"/>
        <v>86700</v>
      </c>
      <c r="G14" s="63">
        <f t="shared" si="8"/>
        <v>90700</v>
      </c>
      <c r="H14" s="63">
        <f t="shared" si="8"/>
        <v>92700</v>
      </c>
    </row>
    <row r="15" spans="1:14" x14ac:dyDescent="0.45">
      <c r="A15" s="83" t="s">
        <v>13</v>
      </c>
      <c r="B15" s="83"/>
      <c r="C15" s="51">
        <f t="shared" ref="C15:H15" si="9">SUM(C8,C13)</f>
        <v>277810</v>
      </c>
      <c r="D15" s="51">
        <f t="shared" si="9"/>
        <v>293010</v>
      </c>
      <c r="E15" s="51">
        <f t="shared" si="9"/>
        <v>304410</v>
      </c>
      <c r="F15" s="51">
        <f t="shared" si="9"/>
        <v>315810</v>
      </c>
      <c r="G15" s="51">
        <f t="shared" si="9"/>
        <v>331010</v>
      </c>
      <c r="H15" s="51">
        <f t="shared" si="9"/>
        <v>338610</v>
      </c>
    </row>
    <row r="16" spans="1:14" x14ac:dyDescent="0.45">
      <c r="A16" s="75" t="s">
        <v>14</v>
      </c>
      <c r="B16" s="76"/>
      <c r="C16" s="76"/>
      <c r="D16" s="76"/>
      <c r="E16" s="76"/>
      <c r="F16" s="76"/>
      <c r="G16" s="76"/>
      <c r="H16" s="76"/>
      <c r="I16" s="77"/>
    </row>
    <row r="17" spans="1:14" ht="26.15" customHeight="1" x14ac:dyDescent="0.45">
      <c r="A17" s="81" t="s">
        <v>38</v>
      </c>
      <c r="B17" s="15" t="s">
        <v>15</v>
      </c>
      <c r="C17" s="2">
        <f>C5*0.75</f>
        <v>92325</v>
      </c>
      <c r="D17" s="2">
        <f t="shared" ref="D17:H17" si="10">C17</f>
        <v>92325</v>
      </c>
      <c r="E17" s="2">
        <f t="shared" si="10"/>
        <v>92325</v>
      </c>
      <c r="F17" s="2">
        <f t="shared" si="10"/>
        <v>92325</v>
      </c>
      <c r="G17" s="2">
        <f t="shared" si="10"/>
        <v>92325</v>
      </c>
      <c r="H17" s="2">
        <f t="shared" si="10"/>
        <v>92325</v>
      </c>
    </row>
    <row r="18" spans="1:14" x14ac:dyDescent="0.45">
      <c r="A18" s="82"/>
      <c r="B18" s="15" t="s">
        <v>11</v>
      </c>
      <c r="C18" s="2">
        <v>26700</v>
      </c>
      <c r="D18" s="2">
        <v>22500</v>
      </c>
      <c r="E18" s="2">
        <v>19300</v>
      </c>
      <c r="F18" s="2">
        <v>16200</v>
      </c>
      <c r="G18" s="2">
        <v>12000</v>
      </c>
      <c r="H18" s="2">
        <v>9900</v>
      </c>
    </row>
    <row r="19" spans="1:14" x14ac:dyDescent="0.45">
      <c r="A19" s="82"/>
      <c r="B19" s="60" t="s">
        <v>47</v>
      </c>
      <c r="C19" s="61">
        <f>((C17-C18)*0.95)*2</f>
        <v>124687.5</v>
      </c>
      <c r="D19" s="61">
        <f t="shared" ref="D19:H19" si="11">((D17-D18)*0.95)*2</f>
        <v>132667.5</v>
      </c>
      <c r="E19" s="61">
        <f t="shared" si="11"/>
        <v>138747.5</v>
      </c>
      <c r="F19" s="61">
        <f t="shared" si="11"/>
        <v>144637.5</v>
      </c>
      <c r="G19" s="61">
        <f t="shared" si="11"/>
        <v>152617.5</v>
      </c>
      <c r="H19" s="61">
        <f t="shared" si="11"/>
        <v>156607.5</v>
      </c>
    </row>
    <row r="20" spans="1:14" x14ac:dyDescent="0.45">
      <c r="A20" s="82"/>
      <c r="B20" s="31" t="s">
        <v>48</v>
      </c>
      <c r="C20" s="61">
        <f>((C17-C18))</f>
        <v>65625</v>
      </c>
      <c r="D20" s="61">
        <f t="shared" ref="D20:H20" si="12">((D17-D18))</f>
        <v>69825</v>
      </c>
      <c r="E20" s="61">
        <f t="shared" si="12"/>
        <v>73025</v>
      </c>
      <c r="F20" s="61">
        <f t="shared" si="12"/>
        <v>76125</v>
      </c>
      <c r="G20" s="61">
        <f t="shared" si="12"/>
        <v>80325</v>
      </c>
      <c r="H20" s="61">
        <f t="shared" si="12"/>
        <v>82425</v>
      </c>
      <c r="I20" s="19"/>
      <c r="J20" s="19"/>
      <c r="K20" s="19"/>
      <c r="L20" s="19"/>
      <c r="M20" s="19"/>
      <c r="N20" s="19"/>
    </row>
    <row r="21" spans="1:14" x14ac:dyDescent="0.45">
      <c r="A21" s="81" t="s">
        <v>39</v>
      </c>
      <c r="B21" s="15" t="s">
        <v>15</v>
      </c>
      <c r="C21" s="2">
        <f>C10*0.75</f>
        <v>95700</v>
      </c>
      <c r="D21" s="2">
        <f t="shared" ref="D21:H21" si="13">C21</f>
        <v>95700</v>
      </c>
      <c r="E21" s="2">
        <f t="shared" si="13"/>
        <v>95700</v>
      </c>
      <c r="F21" s="2">
        <f t="shared" si="13"/>
        <v>95700</v>
      </c>
      <c r="G21" s="2">
        <f t="shared" si="13"/>
        <v>95700</v>
      </c>
      <c r="H21" s="2">
        <f t="shared" si="13"/>
        <v>95700</v>
      </c>
    </row>
    <row r="22" spans="1:14" x14ac:dyDescent="0.45">
      <c r="A22" s="82"/>
      <c r="B22" s="15" t="s">
        <v>11</v>
      </c>
      <c r="C22" s="2">
        <f t="shared" ref="C22:H22" si="14">C18</f>
        <v>26700</v>
      </c>
      <c r="D22" s="2">
        <f t="shared" si="14"/>
        <v>22500</v>
      </c>
      <c r="E22" s="2">
        <f t="shared" si="14"/>
        <v>19300</v>
      </c>
      <c r="F22" s="2">
        <f t="shared" si="14"/>
        <v>16200</v>
      </c>
      <c r="G22" s="2">
        <f t="shared" si="14"/>
        <v>12000</v>
      </c>
      <c r="H22" s="2">
        <f t="shared" si="14"/>
        <v>9900</v>
      </c>
    </row>
    <row r="23" spans="1:14" x14ac:dyDescent="0.45">
      <c r="A23" s="82"/>
      <c r="B23" s="62" t="s">
        <v>47</v>
      </c>
      <c r="C23" s="63">
        <f>((C21-C22)*0.95)*2</f>
        <v>131100</v>
      </c>
      <c r="D23" s="63">
        <f t="shared" ref="D23:H23" si="15">((D21-D22)*0.95)*2</f>
        <v>139080</v>
      </c>
      <c r="E23" s="63">
        <f t="shared" si="15"/>
        <v>145160</v>
      </c>
      <c r="F23" s="63">
        <f t="shared" si="15"/>
        <v>151050</v>
      </c>
      <c r="G23" s="63">
        <f t="shared" si="15"/>
        <v>159030</v>
      </c>
      <c r="H23" s="63">
        <f t="shared" si="15"/>
        <v>163020</v>
      </c>
    </row>
    <row r="24" spans="1:14" x14ac:dyDescent="0.45">
      <c r="A24" s="82"/>
      <c r="B24" s="32" t="s">
        <v>48</v>
      </c>
      <c r="C24" s="63">
        <f>((C21)-C22)</f>
        <v>69000</v>
      </c>
      <c r="D24" s="63">
        <f t="shared" ref="D24:H24" si="16">((D21)-D22)</f>
        <v>73200</v>
      </c>
      <c r="E24" s="63">
        <f t="shared" si="16"/>
        <v>76400</v>
      </c>
      <c r="F24" s="63">
        <f t="shared" si="16"/>
        <v>79500</v>
      </c>
      <c r="G24" s="63">
        <f t="shared" si="16"/>
        <v>83700</v>
      </c>
      <c r="H24" s="63">
        <f t="shared" si="16"/>
        <v>85800</v>
      </c>
    </row>
    <row r="25" spans="1:14" ht="16" customHeight="1" x14ac:dyDescent="0.45">
      <c r="A25" s="83" t="s">
        <v>13</v>
      </c>
      <c r="B25" s="83"/>
      <c r="C25" s="51">
        <f t="shared" ref="C25:H25" si="17">SUM(C19,C23)</f>
        <v>255787.5</v>
      </c>
      <c r="D25" s="51">
        <f t="shared" si="17"/>
        <v>271747.5</v>
      </c>
      <c r="E25" s="51">
        <f t="shared" si="17"/>
        <v>283907.5</v>
      </c>
      <c r="F25" s="51">
        <f t="shared" si="17"/>
        <v>295687.5</v>
      </c>
      <c r="G25" s="51">
        <f t="shared" si="17"/>
        <v>311647.5</v>
      </c>
      <c r="H25" s="51">
        <f t="shared" si="17"/>
        <v>319627.5</v>
      </c>
    </row>
    <row r="26" spans="1:14" x14ac:dyDescent="0.45">
      <c r="A26" s="84" t="s">
        <v>16</v>
      </c>
      <c r="B26" s="84"/>
      <c r="C26" s="84"/>
      <c r="D26" s="84"/>
      <c r="E26" s="84"/>
      <c r="F26" s="84"/>
      <c r="G26" s="84"/>
      <c r="H26" s="84"/>
      <c r="I26" s="84"/>
    </row>
    <row r="27" spans="1:14" x14ac:dyDescent="0.45">
      <c r="A27" s="84"/>
      <c r="B27" s="84"/>
      <c r="C27" s="84"/>
      <c r="D27" s="84"/>
      <c r="E27" s="84"/>
      <c r="F27" s="84"/>
      <c r="G27" s="84"/>
      <c r="H27" s="84"/>
      <c r="I27" s="84"/>
    </row>
    <row r="28" spans="1:14" ht="16" customHeight="1" x14ac:dyDescent="0.45">
      <c r="A28" s="84"/>
      <c r="B28" s="84"/>
      <c r="C28" s="84"/>
      <c r="D28" s="84"/>
      <c r="E28" s="84"/>
      <c r="F28" s="84"/>
      <c r="G28" s="84"/>
      <c r="H28" s="84"/>
      <c r="I28" s="84"/>
    </row>
    <row r="29" spans="1:14" ht="16" customHeight="1" x14ac:dyDescent="0.45">
      <c r="A29" s="64" t="s">
        <v>17</v>
      </c>
      <c r="B29" s="64"/>
      <c r="C29" s="86" t="s">
        <v>18</v>
      </c>
      <c r="D29" s="86"/>
      <c r="E29" s="7">
        <v>15000</v>
      </c>
      <c r="F29" s="90"/>
      <c r="G29" s="90"/>
      <c r="H29" s="90"/>
      <c r="I29" s="90"/>
    </row>
    <row r="30" spans="1:14" ht="17.149999999999999" customHeight="1" x14ac:dyDescent="0.45">
      <c r="A30" s="64"/>
      <c r="B30" s="64"/>
      <c r="C30" s="86" t="s">
        <v>19</v>
      </c>
      <c r="D30" s="86"/>
      <c r="E30" s="7">
        <v>3000</v>
      </c>
      <c r="F30" s="90"/>
      <c r="G30" s="90"/>
      <c r="H30" s="90"/>
      <c r="I30" s="90"/>
    </row>
    <row r="31" spans="1:14" x14ac:dyDescent="0.45">
      <c r="A31" s="64"/>
      <c r="B31" s="64"/>
      <c r="C31" s="87" t="s">
        <v>20</v>
      </c>
      <c r="D31" s="87"/>
      <c r="E31" s="7">
        <v>5000</v>
      </c>
      <c r="F31" s="90"/>
      <c r="G31" s="90"/>
      <c r="H31" s="90"/>
      <c r="I31" s="90"/>
    </row>
    <row r="32" spans="1:14" ht="46" customHeight="1" x14ac:dyDescent="0.45">
      <c r="A32" s="20" t="s">
        <v>21</v>
      </c>
      <c r="B32" s="20" t="s">
        <v>22</v>
      </c>
      <c r="C32" s="21" t="s">
        <v>23</v>
      </c>
      <c r="D32" s="21" t="s">
        <v>24</v>
      </c>
      <c r="E32" s="21" t="s">
        <v>25</v>
      </c>
      <c r="F32" s="21" t="s">
        <v>26</v>
      </c>
      <c r="G32" s="20" t="s">
        <v>27</v>
      </c>
      <c r="H32" s="20" t="s">
        <v>28</v>
      </c>
      <c r="I32" s="20" t="s">
        <v>29</v>
      </c>
    </row>
    <row r="33" spans="1:9" ht="16" customHeight="1" x14ac:dyDescent="0.45">
      <c r="A33" s="16" t="s">
        <v>30</v>
      </c>
      <c r="B33" s="7">
        <f>B34*2</f>
        <v>7000</v>
      </c>
      <c r="C33" s="7">
        <f t="shared" ref="C33:H33" si="18">C34*2</f>
        <v>5000</v>
      </c>
      <c r="D33" s="22">
        <f>D34</f>
        <v>1000</v>
      </c>
      <c r="E33" s="7">
        <f t="shared" si="18"/>
        <v>1500</v>
      </c>
      <c r="F33" s="7">
        <f t="shared" si="18"/>
        <v>1000</v>
      </c>
      <c r="G33" s="7">
        <f t="shared" si="18"/>
        <v>1000</v>
      </c>
      <c r="H33" s="7">
        <f t="shared" si="18"/>
        <v>4000</v>
      </c>
      <c r="I33" s="7">
        <f>SUM(B33:H33)</f>
        <v>20500</v>
      </c>
    </row>
    <row r="34" spans="1:9" ht="17.149999999999999" customHeight="1" x14ac:dyDescent="0.45">
      <c r="A34" s="16" t="s">
        <v>31</v>
      </c>
      <c r="B34" s="7">
        <v>3500</v>
      </c>
      <c r="C34" s="7">
        <v>2500</v>
      </c>
      <c r="D34" s="22">
        <v>1000</v>
      </c>
      <c r="E34" s="22">
        <v>750</v>
      </c>
      <c r="F34" s="22">
        <v>500</v>
      </c>
      <c r="G34" s="7">
        <v>500</v>
      </c>
      <c r="H34" s="7">
        <v>2000</v>
      </c>
      <c r="I34" s="7">
        <f>SUM(B34:H34)</f>
        <v>10750</v>
      </c>
    </row>
    <row r="35" spans="1:9" ht="27" customHeight="1" x14ac:dyDescent="0.45">
      <c r="A35" s="91" t="s">
        <v>45</v>
      </c>
      <c r="B35" s="91"/>
      <c r="C35" s="91"/>
      <c r="D35" s="91"/>
      <c r="E35" s="91"/>
      <c r="F35" s="91"/>
      <c r="G35" s="91"/>
      <c r="H35" s="91"/>
      <c r="I35" s="91"/>
    </row>
    <row r="36" spans="1:9" ht="27" customHeight="1" x14ac:dyDescent="0.45">
      <c r="A36" s="91" t="s">
        <v>46</v>
      </c>
      <c r="B36" s="91"/>
      <c r="C36" s="91"/>
      <c r="D36" s="91"/>
      <c r="E36" s="91"/>
      <c r="F36" s="91"/>
      <c r="G36" s="91"/>
      <c r="H36" s="91"/>
      <c r="I36" s="91"/>
    </row>
    <row r="37" spans="1:9" ht="43" customHeight="1" x14ac:dyDescent="0.45">
      <c r="A37" s="92" t="s">
        <v>43</v>
      </c>
      <c r="B37" s="92"/>
      <c r="C37" s="92"/>
      <c r="D37" s="92"/>
      <c r="E37" s="92"/>
      <c r="F37" s="92"/>
      <c r="G37" s="92"/>
      <c r="H37" s="92"/>
      <c r="I37" s="92"/>
    </row>
    <row r="38" spans="1:9" x14ac:dyDescent="0.45">
      <c r="A38" s="91" t="s">
        <v>32</v>
      </c>
      <c r="B38" s="91"/>
      <c r="C38" s="91"/>
      <c r="D38" s="91"/>
      <c r="E38" s="91"/>
      <c r="F38" s="91"/>
      <c r="G38" s="91"/>
      <c r="H38" s="91"/>
      <c r="I38" s="91"/>
    </row>
    <row r="39" spans="1:9" ht="28" customHeight="1" x14ac:dyDescent="0.45">
      <c r="A39" s="89" t="s">
        <v>86</v>
      </c>
      <c r="B39" s="89"/>
      <c r="C39" s="89"/>
      <c r="D39" s="89"/>
      <c r="E39" s="89"/>
      <c r="F39" s="89"/>
      <c r="G39" s="89"/>
      <c r="H39" s="89"/>
      <c r="I39" s="89"/>
    </row>
    <row r="40" spans="1:9" ht="13.5" customHeight="1" x14ac:dyDescent="0.45">
      <c r="A40" s="73" t="s">
        <v>9</v>
      </c>
      <c r="B40" s="74"/>
      <c r="C40" s="74"/>
      <c r="D40" s="74"/>
      <c r="E40" s="74"/>
      <c r="F40" s="74"/>
      <c r="G40" s="74"/>
      <c r="H40" s="74"/>
      <c r="I40" s="88"/>
    </row>
    <row r="42" spans="1:9" ht="28.75" customHeight="1" x14ac:dyDescent="0.45"/>
    <row r="43" spans="1:9" ht="39" customHeight="1" x14ac:dyDescent="0.45"/>
  </sheetData>
  <mergeCells count="21">
    <mergeCell ref="A36:I36"/>
    <mergeCell ref="A37:I37"/>
    <mergeCell ref="A38:I38"/>
    <mergeCell ref="A26:I28"/>
    <mergeCell ref="C31:D31"/>
    <mergeCell ref="A1:I1"/>
    <mergeCell ref="A2:I2"/>
    <mergeCell ref="A4:I4"/>
    <mergeCell ref="A16:I16"/>
    <mergeCell ref="A40:I40"/>
    <mergeCell ref="A5:A9"/>
    <mergeCell ref="A10:A14"/>
    <mergeCell ref="A15:B15"/>
    <mergeCell ref="A39:I39"/>
    <mergeCell ref="A17:A20"/>
    <mergeCell ref="A21:A24"/>
    <mergeCell ref="A25:B25"/>
    <mergeCell ref="C29:D29"/>
    <mergeCell ref="F29:I31"/>
    <mergeCell ref="C30:D30"/>
    <mergeCell ref="A35:I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1"/>
  <sheetViews>
    <sheetView zoomScale="70" workbookViewId="0">
      <selection activeCell="D8" sqref="D8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23" x14ac:dyDescent="0.45">
      <c r="A1" s="71" t="s">
        <v>91</v>
      </c>
      <c r="B1" s="71"/>
      <c r="C1" s="71"/>
      <c r="D1" s="71"/>
      <c r="E1" s="71"/>
      <c r="F1" s="71"/>
      <c r="G1" s="71"/>
      <c r="H1" s="71"/>
      <c r="I1" s="71"/>
    </row>
    <row r="2" spans="1:23" ht="43.5" customHeight="1" x14ac:dyDescent="0.45">
      <c r="A2" s="72" t="s">
        <v>98</v>
      </c>
      <c r="B2" s="71"/>
      <c r="C2" s="71"/>
      <c r="D2" s="71"/>
      <c r="E2" s="71"/>
      <c r="F2" s="71"/>
      <c r="G2" s="71"/>
      <c r="H2" s="71"/>
      <c r="I2" s="71"/>
    </row>
    <row r="3" spans="1:23" ht="33" customHeight="1" x14ac:dyDescent="0.45">
      <c r="A3" s="43" t="s">
        <v>1</v>
      </c>
      <c r="B3" s="44" t="s">
        <v>2</v>
      </c>
      <c r="C3" s="43" t="s">
        <v>57</v>
      </c>
      <c r="D3" s="43" t="s">
        <v>58</v>
      </c>
      <c r="E3" s="43" t="s">
        <v>59</v>
      </c>
      <c r="F3" s="43" t="s">
        <v>60</v>
      </c>
      <c r="G3" s="43" t="s">
        <v>61</v>
      </c>
      <c r="H3" s="43" t="s">
        <v>62</v>
      </c>
      <c r="I3" s="43" t="s">
        <v>63</v>
      </c>
    </row>
    <row r="4" spans="1:23" x14ac:dyDescent="0.45">
      <c r="A4" s="75" t="s">
        <v>0</v>
      </c>
      <c r="B4" s="76"/>
      <c r="C4" s="76"/>
      <c r="D4" s="76"/>
      <c r="E4" s="76"/>
      <c r="F4" s="76"/>
      <c r="G4" s="76"/>
      <c r="H4" s="76"/>
      <c r="I4" s="76"/>
    </row>
    <row r="5" spans="1:23" x14ac:dyDescent="0.45">
      <c r="A5" s="81" t="s">
        <v>38</v>
      </c>
      <c r="B5" s="27" t="s">
        <v>10</v>
      </c>
      <c r="C5" s="2">
        <v>77500</v>
      </c>
      <c r="D5" s="2">
        <f>C5</f>
        <v>77500</v>
      </c>
      <c r="E5" s="2">
        <f t="shared" ref="E5:I5" si="0">D5</f>
        <v>77500</v>
      </c>
      <c r="F5" s="2">
        <f t="shared" si="0"/>
        <v>77500</v>
      </c>
      <c r="G5" s="2">
        <f t="shared" si="0"/>
        <v>77500</v>
      </c>
      <c r="H5" s="2">
        <f t="shared" si="0"/>
        <v>77500</v>
      </c>
      <c r="I5" s="2">
        <f t="shared" si="0"/>
        <v>77500</v>
      </c>
      <c r="J5" s="19"/>
      <c r="K5" s="19"/>
      <c r="L5" s="19"/>
    </row>
    <row r="6" spans="1:23" x14ac:dyDescent="0.45">
      <c r="A6" s="82"/>
      <c r="B6" s="27" t="s">
        <v>11</v>
      </c>
      <c r="C6" s="2">
        <v>10800</v>
      </c>
      <c r="D6" s="2">
        <v>8700</v>
      </c>
      <c r="E6" s="2">
        <v>6600</v>
      </c>
      <c r="F6" s="2">
        <v>4500</v>
      </c>
      <c r="G6" s="2">
        <v>3400</v>
      </c>
      <c r="H6" s="2">
        <v>2400</v>
      </c>
      <c r="I6" s="2">
        <v>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45">
      <c r="A7" s="82"/>
      <c r="B7" s="54" t="s">
        <v>44</v>
      </c>
      <c r="C7" s="55">
        <v>12500</v>
      </c>
      <c r="D7" s="55">
        <f>C7</f>
        <v>12500</v>
      </c>
      <c r="E7" s="55">
        <f t="shared" ref="E7:I7" si="1">D7</f>
        <v>12500</v>
      </c>
      <c r="F7" s="55">
        <f t="shared" si="1"/>
        <v>12500</v>
      </c>
      <c r="G7" s="55">
        <f t="shared" si="1"/>
        <v>12500</v>
      </c>
      <c r="H7" s="55">
        <f t="shared" si="1"/>
        <v>12500</v>
      </c>
      <c r="I7" s="55">
        <f t="shared" si="1"/>
        <v>12500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45">
      <c r="A8" s="82"/>
      <c r="B8" s="54" t="s">
        <v>47</v>
      </c>
      <c r="C8" s="55">
        <f>(((C5-C6)*0.95)*2)-C7*2</f>
        <v>101730</v>
      </c>
      <c r="D8" s="55">
        <f t="shared" ref="D8:I8" si="2">(((D5-D6)*0.95)*2)-D7*2</f>
        <v>105720</v>
      </c>
      <c r="E8" s="55">
        <f t="shared" si="2"/>
        <v>109710</v>
      </c>
      <c r="F8" s="55">
        <f t="shared" si="2"/>
        <v>113700</v>
      </c>
      <c r="G8" s="55">
        <f t="shared" si="2"/>
        <v>115790</v>
      </c>
      <c r="H8" s="55">
        <f t="shared" si="2"/>
        <v>117690</v>
      </c>
      <c r="I8" s="55">
        <f t="shared" si="2"/>
        <v>122250</v>
      </c>
      <c r="J8" s="19"/>
      <c r="K8" s="19"/>
      <c r="L8" s="19"/>
      <c r="M8" s="19"/>
      <c r="N8" s="19"/>
    </row>
    <row r="9" spans="1:23" x14ac:dyDescent="0.45">
      <c r="A9" s="82"/>
      <c r="B9" s="54" t="s">
        <v>48</v>
      </c>
      <c r="C9" s="55">
        <f>(C5-C6)-C7</f>
        <v>54200</v>
      </c>
      <c r="D9" s="55">
        <f t="shared" ref="D9:I9" si="3">(D5-D6)-D7</f>
        <v>56300</v>
      </c>
      <c r="E9" s="55">
        <f t="shared" si="3"/>
        <v>58400</v>
      </c>
      <c r="F9" s="55">
        <f t="shared" si="3"/>
        <v>60500</v>
      </c>
      <c r="G9" s="55">
        <f t="shared" si="3"/>
        <v>61600</v>
      </c>
      <c r="H9" s="55">
        <f t="shared" si="3"/>
        <v>62600</v>
      </c>
      <c r="I9" s="55">
        <f t="shared" si="3"/>
        <v>65000</v>
      </c>
      <c r="J9" s="19"/>
      <c r="K9" s="19"/>
      <c r="L9" s="19"/>
      <c r="M9" s="19"/>
      <c r="N9" s="19"/>
      <c r="O9" s="19"/>
    </row>
    <row r="10" spans="1:23" ht="16" customHeight="1" x14ac:dyDescent="0.45">
      <c r="A10" s="81" t="s">
        <v>39</v>
      </c>
      <c r="B10" s="27" t="s">
        <v>12</v>
      </c>
      <c r="C10" s="2">
        <f>C5*1.05</f>
        <v>81375</v>
      </c>
      <c r="D10" s="2">
        <f t="shared" ref="D10:G10" si="4">C10</f>
        <v>81375</v>
      </c>
      <c r="E10" s="2">
        <f t="shared" si="4"/>
        <v>81375</v>
      </c>
      <c r="F10" s="2">
        <f t="shared" si="4"/>
        <v>81375</v>
      </c>
      <c r="G10" s="2">
        <f t="shared" si="4"/>
        <v>81375</v>
      </c>
      <c r="H10" s="2">
        <f>H5*1.05</f>
        <v>81375</v>
      </c>
      <c r="I10" s="2">
        <f t="shared" ref="I10" si="5">H10</f>
        <v>81375</v>
      </c>
    </row>
    <row r="11" spans="1:23" x14ac:dyDescent="0.45">
      <c r="A11" s="82"/>
      <c r="B11" s="27" t="s">
        <v>11</v>
      </c>
      <c r="C11" s="2">
        <f t="shared" ref="C11:I11" si="6">C6</f>
        <v>10800</v>
      </c>
      <c r="D11" s="2">
        <f t="shared" si="6"/>
        <v>8700</v>
      </c>
      <c r="E11" s="2">
        <f t="shared" si="6"/>
        <v>6600</v>
      </c>
      <c r="F11" s="2">
        <f t="shared" si="6"/>
        <v>4500</v>
      </c>
      <c r="G11" s="2">
        <f t="shared" si="6"/>
        <v>3400</v>
      </c>
      <c r="H11" s="2">
        <f t="shared" si="6"/>
        <v>2400</v>
      </c>
      <c r="I11" s="2">
        <f t="shared" si="6"/>
        <v>0</v>
      </c>
      <c r="J11" s="19"/>
      <c r="K11" s="19"/>
      <c r="L11" s="19"/>
      <c r="M11" s="19"/>
      <c r="N11" s="19"/>
      <c r="O11" s="19"/>
    </row>
    <row r="12" spans="1:23" x14ac:dyDescent="0.45">
      <c r="A12" s="82"/>
      <c r="B12" s="58" t="s">
        <v>44</v>
      </c>
      <c r="C12" s="59">
        <f>C7</f>
        <v>12500</v>
      </c>
      <c r="D12" s="59">
        <f>C12</f>
        <v>12500</v>
      </c>
      <c r="E12" s="59">
        <f t="shared" ref="E12:I12" si="7">D12</f>
        <v>12500</v>
      </c>
      <c r="F12" s="59">
        <f t="shared" si="7"/>
        <v>12500</v>
      </c>
      <c r="G12" s="59">
        <f t="shared" si="7"/>
        <v>12500</v>
      </c>
      <c r="H12" s="59">
        <f t="shared" si="7"/>
        <v>12500</v>
      </c>
      <c r="I12" s="59">
        <f t="shared" si="7"/>
        <v>12500</v>
      </c>
      <c r="J12" s="19"/>
      <c r="K12" s="19"/>
      <c r="L12" s="19"/>
      <c r="M12" s="19"/>
      <c r="N12" s="19"/>
      <c r="O12" s="19"/>
    </row>
    <row r="13" spans="1:23" x14ac:dyDescent="0.45">
      <c r="A13" s="82"/>
      <c r="B13" s="58" t="s">
        <v>47</v>
      </c>
      <c r="C13" s="59">
        <f>(((C10-C11)*0.95)*2)-C12*2</f>
        <v>109092.5</v>
      </c>
      <c r="D13" s="59">
        <f t="shared" ref="D13:I13" si="8">(((D10-D11)*0.95)*2)-D12*2</f>
        <v>113082.5</v>
      </c>
      <c r="E13" s="59">
        <f t="shared" si="8"/>
        <v>117072.5</v>
      </c>
      <c r="F13" s="59">
        <f t="shared" si="8"/>
        <v>121062.5</v>
      </c>
      <c r="G13" s="59">
        <f t="shared" si="8"/>
        <v>123152.5</v>
      </c>
      <c r="H13" s="59">
        <f t="shared" si="8"/>
        <v>125052.5</v>
      </c>
      <c r="I13" s="59">
        <f t="shared" si="8"/>
        <v>129612.5</v>
      </c>
    </row>
    <row r="14" spans="1:23" x14ac:dyDescent="0.45">
      <c r="A14" s="82"/>
      <c r="B14" s="58" t="s">
        <v>48</v>
      </c>
      <c r="C14" s="59">
        <f>(C10-C11)-C12</f>
        <v>58075</v>
      </c>
      <c r="D14" s="59">
        <f t="shared" ref="D14:I14" si="9">(D10-D11)-D12</f>
        <v>60175</v>
      </c>
      <c r="E14" s="59">
        <f t="shared" si="9"/>
        <v>62275</v>
      </c>
      <c r="F14" s="59">
        <f t="shared" si="9"/>
        <v>64375</v>
      </c>
      <c r="G14" s="59">
        <f t="shared" si="9"/>
        <v>65475</v>
      </c>
      <c r="H14" s="59">
        <f t="shared" si="9"/>
        <v>66475</v>
      </c>
      <c r="I14" s="59">
        <f t="shared" si="9"/>
        <v>68875</v>
      </c>
    </row>
    <row r="15" spans="1:23" x14ac:dyDescent="0.45">
      <c r="A15" s="81" t="s">
        <v>40</v>
      </c>
      <c r="B15" s="27" t="s">
        <v>12</v>
      </c>
      <c r="C15" s="2">
        <f>C10*1.05</f>
        <v>85443.75</v>
      </c>
      <c r="D15" s="2">
        <f t="shared" ref="D15:G15" si="10">C15</f>
        <v>85443.75</v>
      </c>
      <c r="E15" s="2">
        <f t="shared" si="10"/>
        <v>85443.75</v>
      </c>
      <c r="F15" s="2">
        <f t="shared" si="10"/>
        <v>85443.75</v>
      </c>
      <c r="G15" s="2">
        <f t="shared" si="10"/>
        <v>85443.75</v>
      </c>
      <c r="H15" s="2">
        <f>H10*1.05</f>
        <v>85443.75</v>
      </c>
      <c r="I15" s="2">
        <f t="shared" ref="I15" si="11">H15</f>
        <v>85443.75</v>
      </c>
    </row>
    <row r="16" spans="1:23" x14ac:dyDescent="0.45">
      <c r="A16" s="82"/>
      <c r="B16" s="27" t="s">
        <v>11</v>
      </c>
      <c r="C16" s="2">
        <f t="shared" ref="C16:I16" si="12">C11</f>
        <v>10800</v>
      </c>
      <c r="D16" s="2">
        <f t="shared" si="12"/>
        <v>8700</v>
      </c>
      <c r="E16" s="2">
        <f t="shared" si="12"/>
        <v>6600</v>
      </c>
      <c r="F16" s="2">
        <f t="shared" si="12"/>
        <v>4500</v>
      </c>
      <c r="G16" s="2">
        <f t="shared" si="12"/>
        <v>3400</v>
      </c>
      <c r="H16" s="2">
        <f t="shared" si="12"/>
        <v>2400</v>
      </c>
      <c r="I16" s="2">
        <f t="shared" si="12"/>
        <v>0</v>
      </c>
    </row>
    <row r="17" spans="1:15" x14ac:dyDescent="0.45">
      <c r="A17" s="82"/>
      <c r="B17" s="60" t="s">
        <v>44</v>
      </c>
      <c r="C17" s="61">
        <f>C12</f>
        <v>12500</v>
      </c>
      <c r="D17" s="61">
        <f>C17</f>
        <v>12500</v>
      </c>
      <c r="E17" s="61">
        <f t="shared" ref="E17" si="13">D17</f>
        <v>12500</v>
      </c>
      <c r="F17" s="61">
        <f t="shared" ref="F17" si="14">E17</f>
        <v>12500</v>
      </c>
      <c r="G17" s="61">
        <f t="shared" ref="G17" si="15">F17</f>
        <v>12500</v>
      </c>
      <c r="H17" s="61">
        <f t="shared" ref="H17" si="16">G17</f>
        <v>12500</v>
      </c>
      <c r="I17" s="61">
        <f t="shared" ref="I17" si="17">H17</f>
        <v>12500</v>
      </c>
    </row>
    <row r="18" spans="1:15" x14ac:dyDescent="0.45">
      <c r="A18" s="82"/>
      <c r="B18" s="60" t="s">
        <v>47</v>
      </c>
      <c r="C18" s="61">
        <f>(((C15-C16)*0.95)*2)-C17*2</f>
        <v>116823.125</v>
      </c>
      <c r="D18" s="61">
        <f t="shared" ref="D18:I18" si="18">(((D15-D16)*0.95)*2)-D17*2</f>
        <v>120813.125</v>
      </c>
      <c r="E18" s="61">
        <f t="shared" si="18"/>
        <v>124803.125</v>
      </c>
      <c r="F18" s="61">
        <f t="shared" si="18"/>
        <v>128793.125</v>
      </c>
      <c r="G18" s="61">
        <f t="shared" si="18"/>
        <v>130883.125</v>
      </c>
      <c r="H18" s="61">
        <f t="shared" si="18"/>
        <v>132783.125</v>
      </c>
      <c r="I18" s="61">
        <f t="shared" si="18"/>
        <v>137343.125</v>
      </c>
    </row>
    <row r="19" spans="1:15" x14ac:dyDescent="0.45">
      <c r="A19" s="82"/>
      <c r="B19" s="60" t="s">
        <v>48</v>
      </c>
      <c r="C19" s="61">
        <f>(C15-C16)-C17</f>
        <v>62143.75</v>
      </c>
      <c r="D19" s="61">
        <f t="shared" ref="D19:I19" si="19">(D15-D16)-D17</f>
        <v>64243.75</v>
      </c>
      <c r="E19" s="61">
        <f t="shared" si="19"/>
        <v>66343.75</v>
      </c>
      <c r="F19" s="61">
        <f t="shared" si="19"/>
        <v>68443.75</v>
      </c>
      <c r="G19" s="61">
        <f t="shared" si="19"/>
        <v>69543.75</v>
      </c>
      <c r="H19" s="61">
        <f t="shared" si="19"/>
        <v>70543.75</v>
      </c>
      <c r="I19" s="61">
        <f t="shared" si="19"/>
        <v>72943.75</v>
      </c>
    </row>
    <row r="20" spans="1:15" x14ac:dyDescent="0.45">
      <c r="A20" s="81" t="s">
        <v>41</v>
      </c>
      <c r="B20" s="27" t="s">
        <v>12</v>
      </c>
      <c r="C20" s="2">
        <f>C15*1.05</f>
        <v>89715.9375</v>
      </c>
      <c r="D20" s="2">
        <f t="shared" ref="D20:G20" si="20">C20</f>
        <v>89715.9375</v>
      </c>
      <c r="E20" s="2">
        <f t="shared" si="20"/>
        <v>89715.9375</v>
      </c>
      <c r="F20" s="2">
        <f t="shared" si="20"/>
        <v>89715.9375</v>
      </c>
      <c r="G20" s="2">
        <f t="shared" si="20"/>
        <v>89715.9375</v>
      </c>
      <c r="H20" s="2">
        <f>H15*1.05</f>
        <v>89715.9375</v>
      </c>
      <c r="I20" s="2">
        <f t="shared" ref="I20" si="21">H20</f>
        <v>89715.9375</v>
      </c>
    </row>
    <row r="21" spans="1:15" x14ac:dyDescent="0.45">
      <c r="A21" s="82"/>
      <c r="B21" s="27" t="s">
        <v>11</v>
      </c>
      <c r="C21" s="2">
        <f t="shared" ref="C21:I21" si="22">C16</f>
        <v>10800</v>
      </c>
      <c r="D21" s="2">
        <f t="shared" si="22"/>
        <v>8700</v>
      </c>
      <c r="E21" s="2">
        <f t="shared" si="22"/>
        <v>6600</v>
      </c>
      <c r="F21" s="2">
        <f t="shared" si="22"/>
        <v>4500</v>
      </c>
      <c r="G21" s="2">
        <f t="shared" si="22"/>
        <v>3400</v>
      </c>
      <c r="H21" s="2">
        <f t="shared" si="22"/>
        <v>2400</v>
      </c>
      <c r="I21" s="2">
        <f t="shared" si="22"/>
        <v>0</v>
      </c>
    </row>
    <row r="22" spans="1:15" x14ac:dyDescent="0.45">
      <c r="A22" s="82"/>
      <c r="B22" s="62" t="s">
        <v>44</v>
      </c>
      <c r="C22" s="63">
        <f>C17</f>
        <v>12500</v>
      </c>
      <c r="D22" s="63">
        <f>C22</f>
        <v>12500</v>
      </c>
      <c r="E22" s="63">
        <f t="shared" ref="E22" si="23">D22</f>
        <v>12500</v>
      </c>
      <c r="F22" s="63">
        <f t="shared" ref="F22" si="24">E22</f>
        <v>12500</v>
      </c>
      <c r="G22" s="63">
        <f t="shared" ref="G22" si="25">F22</f>
        <v>12500</v>
      </c>
      <c r="H22" s="63">
        <f t="shared" ref="H22" si="26">G22</f>
        <v>12500</v>
      </c>
      <c r="I22" s="63">
        <f t="shared" ref="I22" si="27">H22</f>
        <v>12500</v>
      </c>
    </row>
    <row r="23" spans="1:15" x14ac:dyDescent="0.45">
      <c r="A23" s="82"/>
      <c r="B23" s="62" t="s">
        <v>47</v>
      </c>
      <c r="C23" s="63">
        <f>(((C20-C21)*0.95)*2)-C22*2</f>
        <v>124940.28125</v>
      </c>
      <c r="D23" s="63">
        <f t="shared" ref="D23:I23" si="28">(((D20-D21)*0.95)*2)-D22*2</f>
        <v>128930.28125</v>
      </c>
      <c r="E23" s="63">
        <f t="shared" si="28"/>
        <v>132920.28125</v>
      </c>
      <c r="F23" s="63">
        <f t="shared" si="28"/>
        <v>136910.28125</v>
      </c>
      <c r="G23" s="63">
        <f t="shared" si="28"/>
        <v>139000.28125</v>
      </c>
      <c r="H23" s="63">
        <f t="shared" si="28"/>
        <v>140900.28125</v>
      </c>
      <c r="I23" s="63">
        <f t="shared" si="28"/>
        <v>145460.28125</v>
      </c>
    </row>
    <row r="24" spans="1:15" x14ac:dyDescent="0.45">
      <c r="A24" s="82"/>
      <c r="B24" s="62" t="s">
        <v>48</v>
      </c>
      <c r="C24" s="63">
        <f>(C20-C21)-C22</f>
        <v>66415.9375</v>
      </c>
      <c r="D24" s="63">
        <f t="shared" ref="D24:I24" si="29">(D20-D21)-D22</f>
        <v>68515.9375</v>
      </c>
      <c r="E24" s="63">
        <f t="shared" si="29"/>
        <v>70615.9375</v>
      </c>
      <c r="F24" s="63">
        <f t="shared" si="29"/>
        <v>72715.9375</v>
      </c>
      <c r="G24" s="63">
        <f t="shared" si="29"/>
        <v>73815.9375</v>
      </c>
      <c r="H24" s="63">
        <f t="shared" si="29"/>
        <v>74815.9375</v>
      </c>
      <c r="I24" s="63">
        <f t="shared" si="29"/>
        <v>77215.9375</v>
      </c>
    </row>
    <row r="25" spans="1:15" x14ac:dyDescent="0.45">
      <c r="A25" s="83" t="s">
        <v>13</v>
      </c>
      <c r="B25" s="83"/>
      <c r="C25" s="63">
        <f t="shared" ref="C25:I25" si="30">SUM(C8,C13,C18,C23)</f>
        <v>452585.90625</v>
      </c>
      <c r="D25" s="63">
        <f t="shared" si="30"/>
        <v>468545.90625</v>
      </c>
      <c r="E25" s="63">
        <f t="shared" si="30"/>
        <v>484505.90625</v>
      </c>
      <c r="F25" s="63">
        <f t="shared" si="30"/>
        <v>500465.90625</v>
      </c>
      <c r="G25" s="63">
        <f t="shared" si="30"/>
        <v>508825.90625</v>
      </c>
      <c r="H25" s="63">
        <f t="shared" si="30"/>
        <v>516425.90625</v>
      </c>
      <c r="I25" s="63">
        <f t="shared" si="30"/>
        <v>534665.90625</v>
      </c>
    </row>
    <row r="26" spans="1:15" x14ac:dyDescent="0.45">
      <c r="A26" s="75" t="s">
        <v>14</v>
      </c>
      <c r="B26" s="76"/>
      <c r="C26" s="76"/>
      <c r="D26" s="76"/>
      <c r="E26" s="76"/>
      <c r="F26" s="76"/>
      <c r="G26" s="76"/>
      <c r="H26" s="76"/>
      <c r="I26" s="76"/>
      <c r="J26" s="19"/>
      <c r="K26" s="19"/>
      <c r="L26" s="19"/>
      <c r="M26" s="19"/>
      <c r="N26" s="19"/>
      <c r="O26" s="19"/>
    </row>
    <row r="27" spans="1:15" x14ac:dyDescent="0.45">
      <c r="A27" s="81" t="s">
        <v>38</v>
      </c>
      <c r="B27" s="15" t="s">
        <v>15</v>
      </c>
      <c r="C27" s="2">
        <f>C5*0.75</f>
        <v>58125</v>
      </c>
      <c r="D27" s="2">
        <f t="shared" ref="D27:G27" si="31">C27</f>
        <v>58125</v>
      </c>
      <c r="E27" s="2">
        <f t="shared" si="31"/>
        <v>58125</v>
      </c>
      <c r="F27" s="2">
        <f t="shared" si="31"/>
        <v>58125</v>
      </c>
      <c r="G27" s="2">
        <f t="shared" si="31"/>
        <v>58125</v>
      </c>
      <c r="H27" s="2">
        <f>H5*0.75</f>
        <v>58125</v>
      </c>
      <c r="I27" s="2">
        <f t="shared" ref="I27" si="32">H27</f>
        <v>58125</v>
      </c>
    </row>
    <row r="28" spans="1:15" x14ac:dyDescent="0.45">
      <c r="A28" s="82"/>
      <c r="B28" s="15" t="s">
        <v>11</v>
      </c>
      <c r="C28" s="2">
        <v>10800</v>
      </c>
      <c r="D28" s="2">
        <v>8700</v>
      </c>
      <c r="E28" s="2">
        <v>6600</v>
      </c>
      <c r="F28" s="2">
        <v>4500</v>
      </c>
      <c r="G28" s="2">
        <v>3400</v>
      </c>
      <c r="H28" s="2">
        <v>2400</v>
      </c>
      <c r="I28" s="2">
        <v>0</v>
      </c>
    </row>
    <row r="29" spans="1:15" x14ac:dyDescent="0.45">
      <c r="A29" s="82"/>
      <c r="B29" s="23" t="s">
        <v>47</v>
      </c>
      <c r="C29" s="55">
        <f>((C27-C28)*0.95)*2</f>
        <v>89917.5</v>
      </c>
      <c r="D29" s="55">
        <f t="shared" ref="D29:I29" si="33">((D27-D28)*0.95)*2</f>
        <v>93907.5</v>
      </c>
      <c r="E29" s="55">
        <f t="shared" si="33"/>
        <v>97897.5</v>
      </c>
      <c r="F29" s="55">
        <f t="shared" si="33"/>
        <v>101887.5</v>
      </c>
      <c r="G29" s="55">
        <f t="shared" si="33"/>
        <v>103977.5</v>
      </c>
      <c r="H29" s="55">
        <f t="shared" si="33"/>
        <v>105877.5</v>
      </c>
      <c r="I29" s="55">
        <f t="shared" si="33"/>
        <v>110437.5</v>
      </c>
      <c r="J29" s="19"/>
      <c r="K29" s="19"/>
      <c r="L29" s="19"/>
      <c r="M29" s="19"/>
      <c r="N29" s="19"/>
      <c r="O29" s="19"/>
    </row>
    <row r="30" spans="1:15" x14ac:dyDescent="0.45">
      <c r="A30" s="82"/>
      <c r="B30" s="23" t="s">
        <v>48</v>
      </c>
      <c r="C30" s="55">
        <f>(C27-C28)</f>
        <v>47325</v>
      </c>
      <c r="D30" s="55">
        <f t="shared" ref="D30:I30" si="34">(D27-D28)</f>
        <v>49425</v>
      </c>
      <c r="E30" s="55">
        <f t="shared" si="34"/>
        <v>51525</v>
      </c>
      <c r="F30" s="55">
        <f t="shared" si="34"/>
        <v>53625</v>
      </c>
      <c r="G30" s="55">
        <f t="shared" si="34"/>
        <v>54725</v>
      </c>
      <c r="H30" s="55">
        <f t="shared" si="34"/>
        <v>55725</v>
      </c>
      <c r="I30" s="55">
        <f t="shared" si="34"/>
        <v>58125</v>
      </c>
    </row>
    <row r="31" spans="1:15" x14ac:dyDescent="0.45">
      <c r="A31" s="81" t="s">
        <v>39</v>
      </c>
      <c r="B31" s="15" t="s">
        <v>15</v>
      </c>
      <c r="C31" s="2">
        <f>C27*1.05</f>
        <v>61031.25</v>
      </c>
      <c r="D31" s="2">
        <f t="shared" ref="D31:G31" si="35">C31</f>
        <v>61031.25</v>
      </c>
      <c r="E31" s="2">
        <f t="shared" si="35"/>
        <v>61031.25</v>
      </c>
      <c r="F31" s="2">
        <f t="shared" si="35"/>
        <v>61031.25</v>
      </c>
      <c r="G31" s="2">
        <f t="shared" si="35"/>
        <v>61031.25</v>
      </c>
      <c r="H31" s="2">
        <f>H27*1.05</f>
        <v>61031.25</v>
      </c>
      <c r="I31" s="2">
        <f t="shared" ref="I31" si="36">H31</f>
        <v>61031.25</v>
      </c>
    </row>
    <row r="32" spans="1:15" x14ac:dyDescent="0.45">
      <c r="A32" s="82"/>
      <c r="B32" s="15" t="s">
        <v>11</v>
      </c>
      <c r="C32" s="2">
        <f t="shared" ref="C32:I32" si="37">C28</f>
        <v>10800</v>
      </c>
      <c r="D32" s="2">
        <f t="shared" si="37"/>
        <v>8700</v>
      </c>
      <c r="E32" s="2">
        <f t="shared" si="37"/>
        <v>6600</v>
      </c>
      <c r="F32" s="2">
        <f t="shared" si="37"/>
        <v>4500</v>
      </c>
      <c r="G32" s="2">
        <f t="shared" si="37"/>
        <v>3400</v>
      </c>
      <c r="H32" s="2">
        <f t="shared" si="37"/>
        <v>2400</v>
      </c>
      <c r="I32" s="2">
        <f t="shared" si="37"/>
        <v>0</v>
      </c>
    </row>
    <row r="33" spans="1:9" x14ac:dyDescent="0.45">
      <c r="A33" s="82"/>
      <c r="B33" s="58" t="s">
        <v>47</v>
      </c>
      <c r="C33" s="59">
        <f>((C31-C32)*0.95)*2</f>
        <v>95439.375</v>
      </c>
      <c r="D33" s="59">
        <f t="shared" ref="D33:I33" si="38">((D31-D32)*0.95)*2</f>
        <v>99429.375</v>
      </c>
      <c r="E33" s="59">
        <f t="shared" si="38"/>
        <v>103419.375</v>
      </c>
      <c r="F33" s="59">
        <f t="shared" si="38"/>
        <v>107409.375</v>
      </c>
      <c r="G33" s="59">
        <f t="shared" si="38"/>
        <v>109499.375</v>
      </c>
      <c r="H33" s="59">
        <f t="shared" si="38"/>
        <v>111399.375</v>
      </c>
      <c r="I33" s="59">
        <f t="shared" si="38"/>
        <v>115959.375</v>
      </c>
    </row>
    <row r="34" spans="1:9" x14ac:dyDescent="0.45">
      <c r="A34" s="82"/>
      <c r="B34" s="33" t="s">
        <v>48</v>
      </c>
      <c r="C34" s="59">
        <f>(C31-C32)</f>
        <v>50231.25</v>
      </c>
      <c r="D34" s="59">
        <f t="shared" ref="D34:I34" si="39">(D31-D32)</f>
        <v>52331.25</v>
      </c>
      <c r="E34" s="59">
        <f t="shared" si="39"/>
        <v>54431.25</v>
      </c>
      <c r="F34" s="59">
        <f t="shared" si="39"/>
        <v>56531.25</v>
      </c>
      <c r="G34" s="59">
        <f t="shared" si="39"/>
        <v>57631.25</v>
      </c>
      <c r="H34" s="59">
        <f t="shared" si="39"/>
        <v>58631.25</v>
      </c>
      <c r="I34" s="59">
        <f t="shared" si="39"/>
        <v>61031.25</v>
      </c>
    </row>
    <row r="35" spans="1:9" x14ac:dyDescent="0.45">
      <c r="A35" s="81" t="s">
        <v>40</v>
      </c>
      <c r="B35" s="15" t="s">
        <v>15</v>
      </c>
      <c r="C35" s="2">
        <f>C31*1.05</f>
        <v>64082.8125</v>
      </c>
      <c r="D35" s="2">
        <f t="shared" ref="D35:G35" si="40">C35</f>
        <v>64082.8125</v>
      </c>
      <c r="E35" s="2">
        <f t="shared" si="40"/>
        <v>64082.8125</v>
      </c>
      <c r="F35" s="2">
        <f t="shared" si="40"/>
        <v>64082.8125</v>
      </c>
      <c r="G35" s="2">
        <f t="shared" si="40"/>
        <v>64082.8125</v>
      </c>
      <c r="H35" s="2">
        <f>H31*1.05</f>
        <v>64082.8125</v>
      </c>
      <c r="I35" s="2">
        <f t="shared" ref="I35" si="41">H35</f>
        <v>64082.8125</v>
      </c>
    </row>
    <row r="36" spans="1:9" x14ac:dyDescent="0.45">
      <c r="A36" s="82"/>
      <c r="B36" s="15" t="s">
        <v>11</v>
      </c>
      <c r="C36" s="2">
        <f t="shared" ref="C36:I36" si="42">C32</f>
        <v>10800</v>
      </c>
      <c r="D36" s="2">
        <f t="shared" si="42"/>
        <v>8700</v>
      </c>
      <c r="E36" s="2">
        <f t="shared" si="42"/>
        <v>6600</v>
      </c>
      <c r="F36" s="2">
        <f t="shared" si="42"/>
        <v>4500</v>
      </c>
      <c r="G36" s="2">
        <f t="shared" si="42"/>
        <v>3400</v>
      </c>
      <c r="H36" s="2">
        <f t="shared" si="42"/>
        <v>2400</v>
      </c>
      <c r="I36" s="2">
        <f t="shared" si="42"/>
        <v>0</v>
      </c>
    </row>
    <row r="37" spans="1:9" x14ac:dyDescent="0.45">
      <c r="A37" s="82"/>
      <c r="B37" s="60" t="s">
        <v>47</v>
      </c>
      <c r="C37" s="61">
        <f>((C35-C36)*0.95)*2</f>
        <v>101237.34375</v>
      </c>
      <c r="D37" s="61">
        <f t="shared" ref="D37:I37" si="43">((D35-D36)*0.95)*2</f>
        <v>105227.34375</v>
      </c>
      <c r="E37" s="61">
        <f t="shared" si="43"/>
        <v>109217.34375</v>
      </c>
      <c r="F37" s="61">
        <f t="shared" si="43"/>
        <v>113207.34375</v>
      </c>
      <c r="G37" s="61">
        <f t="shared" si="43"/>
        <v>115297.34375</v>
      </c>
      <c r="H37" s="61">
        <f t="shared" si="43"/>
        <v>117197.34375</v>
      </c>
      <c r="I37" s="61">
        <f t="shared" si="43"/>
        <v>121757.34375</v>
      </c>
    </row>
    <row r="38" spans="1:9" x14ac:dyDescent="0.45">
      <c r="A38" s="82"/>
      <c r="B38" s="31" t="s">
        <v>48</v>
      </c>
      <c r="C38" s="61">
        <f>(C35-C36)</f>
        <v>53282.8125</v>
      </c>
      <c r="D38" s="61">
        <f t="shared" ref="D38:I38" si="44">(D35-D36)</f>
        <v>55382.8125</v>
      </c>
      <c r="E38" s="61">
        <f t="shared" si="44"/>
        <v>57482.8125</v>
      </c>
      <c r="F38" s="61">
        <f t="shared" si="44"/>
        <v>59582.8125</v>
      </c>
      <c r="G38" s="61">
        <f t="shared" si="44"/>
        <v>60682.8125</v>
      </c>
      <c r="H38" s="61">
        <f t="shared" si="44"/>
        <v>61682.8125</v>
      </c>
      <c r="I38" s="61">
        <f t="shared" si="44"/>
        <v>64082.8125</v>
      </c>
    </row>
    <row r="39" spans="1:9" x14ac:dyDescent="0.45">
      <c r="A39" s="81" t="s">
        <v>41</v>
      </c>
      <c r="B39" s="15" t="s">
        <v>15</v>
      </c>
      <c r="C39" s="2">
        <f>C35*1.05</f>
        <v>67286.953125</v>
      </c>
      <c r="D39" s="2">
        <f t="shared" ref="D39:G39" si="45">C39</f>
        <v>67286.953125</v>
      </c>
      <c r="E39" s="2">
        <f t="shared" si="45"/>
        <v>67286.953125</v>
      </c>
      <c r="F39" s="2">
        <f t="shared" si="45"/>
        <v>67286.953125</v>
      </c>
      <c r="G39" s="2">
        <f t="shared" si="45"/>
        <v>67286.953125</v>
      </c>
      <c r="H39" s="2">
        <f>H35*1.05</f>
        <v>67286.953125</v>
      </c>
      <c r="I39" s="2">
        <f t="shared" ref="I39" si="46">H39</f>
        <v>67286.953125</v>
      </c>
    </row>
    <row r="40" spans="1:9" x14ac:dyDescent="0.45">
      <c r="A40" s="82"/>
      <c r="B40" s="15" t="s">
        <v>11</v>
      </c>
      <c r="C40" s="2">
        <f t="shared" ref="C40:I40" si="47">C36</f>
        <v>10800</v>
      </c>
      <c r="D40" s="2">
        <f t="shared" si="47"/>
        <v>8700</v>
      </c>
      <c r="E40" s="2">
        <f t="shared" si="47"/>
        <v>6600</v>
      </c>
      <c r="F40" s="2">
        <f t="shared" si="47"/>
        <v>4500</v>
      </c>
      <c r="G40" s="2">
        <f t="shared" si="47"/>
        <v>3400</v>
      </c>
      <c r="H40" s="2">
        <f t="shared" si="47"/>
        <v>2400</v>
      </c>
      <c r="I40" s="2">
        <f t="shared" si="47"/>
        <v>0</v>
      </c>
    </row>
    <row r="41" spans="1:9" x14ac:dyDescent="0.45">
      <c r="A41" s="82"/>
      <c r="B41" s="62" t="s">
        <v>47</v>
      </c>
      <c r="C41" s="63">
        <f>((C39-C40)*0.95)*2</f>
        <v>107325.2109375</v>
      </c>
      <c r="D41" s="63">
        <f t="shared" ref="D41:I41" si="48">((D39-D40)*0.95)*2</f>
        <v>111315.2109375</v>
      </c>
      <c r="E41" s="63">
        <f t="shared" si="48"/>
        <v>115305.2109375</v>
      </c>
      <c r="F41" s="63">
        <f t="shared" si="48"/>
        <v>119295.2109375</v>
      </c>
      <c r="G41" s="63">
        <f t="shared" si="48"/>
        <v>121385.2109375</v>
      </c>
      <c r="H41" s="63">
        <f t="shared" si="48"/>
        <v>123285.2109375</v>
      </c>
      <c r="I41" s="63">
        <f t="shared" si="48"/>
        <v>127845.2109375</v>
      </c>
    </row>
    <row r="42" spans="1:9" x14ac:dyDescent="0.45">
      <c r="A42" s="82"/>
      <c r="B42" s="32" t="s">
        <v>48</v>
      </c>
      <c r="C42" s="63">
        <f>(C39-C40)</f>
        <v>56486.953125</v>
      </c>
      <c r="D42" s="63">
        <f t="shared" ref="D42:I42" si="49">(D39-D40)</f>
        <v>58586.953125</v>
      </c>
      <c r="E42" s="63">
        <f t="shared" si="49"/>
        <v>60686.953125</v>
      </c>
      <c r="F42" s="63">
        <f t="shared" si="49"/>
        <v>62786.953125</v>
      </c>
      <c r="G42" s="63">
        <f t="shared" si="49"/>
        <v>63886.953125</v>
      </c>
      <c r="H42" s="63">
        <f t="shared" si="49"/>
        <v>64886.953125</v>
      </c>
      <c r="I42" s="63">
        <f t="shared" si="49"/>
        <v>67286.953125</v>
      </c>
    </row>
    <row r="43" spans="1:9" x14ac:dyDescent="0.45">
      <c r="A43" s="83" t="s">
        <v>13</v>
      </c>
      <c r="B43" s="83"/>
      <c r="C43" s="63">
        <f t="shared" ref="C43:I43" si="50">SUM(C29,C33,C37,C41)</f>
        <v>393919.4296875</v>
      </c>
      <c r="D43" s="63">
        <f t="shared" si="50"/>
        <v>409879.4296875</v>
      </c>
      <c r="E43" s="63">
        <f t="shared" si="50"/>
        <v>425839.4296875</v>
      </c>
      <c r="F43" s="63">
        <f t="shared" si="50"/>
        <v>441799.4296875</v>
      </c>
      <c r="G43" s="63">
        <f t="shared" si="50"/>
        <v>450159.4296875</v>
      </c>
      <c r="H43" s="63">
        <f t="shared" si="50"/>
        <v>457759.4296875</v>
      </c>
      <c r="I43" s="63">
        <f t="shared" si="50"/>
        <v>475999.4296875</v>
      </c>
    </row>
    <row r="44" spans="1:9" ht="16" customHeight="1" x14ac:dyDescent="0.45">
      <c r="A44" s="84" t="s">
        <v>16</v>
      </c>
      <c r="B44" s="84"/>
      <c r="C44" s="84"/>
      <c r="D44" s="84"/>
      <c r="E44" s="84"/>
      <c r="F44" s="84"/>
      <c r="G44" s="84"/>
      <c r="H44" s="84"/>
      <c r="I44" s="84"/>
    </row>
    <row r="45" spans="1:9" ht="16" customHeight="1" x14ac:dyDescent="0.45">
      <c r="A45" s="84"/>
      <c r="B45" s="84"/>
      <c r="C45" s="84"/>
      <c r="D45" s="84"/>
      <c r="E45" s="84"/>
      <c r="F45" s="84"/>
      <c r="G45" s="84"/>
      <c r="H45" s="84"/>
      <c r="I45" s="84"/>
    </row>
    <row r="46" spans="1:9" ht="17.149999999999999" customHeight="1" x14ac:dyDescent="0.45">
      <c r="A46" s="84"/>
      <c r="B46" s="84"/>
      <c r="C46" s="84"/>
      <c r="D46" s="84"/>
      <c r="E46" s="84"/>
      <c r="F46" s="84"/>
      <c r="G46" s="84"/>
      <c r="H46" s="84"/>
      <c r="I46" s="84"/>
    </row>
    <row r="47" spans="1:9" x14ac:dyDescent="0.45">
      <c r="A47" s="85" t="s">
        <v>17</v>
      </c>
      <c r="B47" s="85"/>
      <c r="C47" s="86" t="s">
        <v>18</v>
      </c>
      <c r="D47" s="86"/>
      <c r="E47" s="7">
        <v>5000</v>
      </c>
      <c r="F47" s="57"/>
      <c r="G47" s="65"/>
      <c r="H47" s="56"/>
      <c r="I47" s="56"/>
    </row>
    <row r="48" spans="1:9" ht="16" customHeight="1" x14ac:dyDescent="0.45">
      <c r="A48" s="85"/>
      <c r="B48" s="85"/>
      <c r="C48" s="86" t="s">
        <v>19</v>
      </c>
      <c r="D48" s="86"/>
      <c r="E48" s="7">
        <v>3000</v>
      </c>
      <c r="F48" s="57"/>
      <c r="G48" s="65"/>
      <c r="H48" s="56"/>
      <c r="I48" s="56"/>
    </row>
    <row r="49" spans="1:9" ht="16" customHeight="1" x14ac:dyDescent="0.45">
      <c r="A49" s="85"/>
      <c r="B49" s="85"/>
      <c r="C49" s="87" t="s">
        <v>20</v>
      </c>
      <c r="D49" s="87"/>
      <c r="E49" s="7">
        <v>5000</v>
      </c>
      <c r="F49" s="66"/>
      <c r="G49" s="67"/>
      <c r="H49" s="56"/>
      <c r="I49" s="56"/>
    </row>
    <row r="50" spans="1:9" ht="33" customHeight="1" x14ac:dyDescent="0.45">
      <c r="A50" s="20" t="s">
        <v>21</v>
      </c>
      <c r="B50" s="20" t="s">
        <v>22</v>
      </c>
      <c r="C50" s="21" t="s">
        <v>23</v>
      </c>
      <c r="D50" s="21" t="s">
        <v>24</v>
      </c>
      <c r="E50" s="21" t="s">
        <v>25</v>
      </c>
      <c r="F50" s="21" t="s">
        <v>26</v>
      </c>
      <c r="G50" s="20" t="s">
        <v>27</v>
      </c>
      <c r="H50" s="20" t="s">
        <v>29</v>
      </c>
      <c r="I50" s="56"/>
    </row>
    <row r="51" spans="1:9" ht="14.5" customHeight="1" x14ac:dyDescent="0.45">
      <c r="A51" s="16" t="s">
        <v>30</v>
      </c>
      <c r="B51" s="7">
        <f>B52*2</f>
        <v>9000</v>
      </c>
      <c r="C51" s="7">
        <f t="shared" ref="C51:G51" si="51">C52*2</f>
        <v>5000</v>
      </c>
      <c r="D51" s="7">
        <v>1000</v>
      </c>
      <c r="E51" s="7">
        <f t="shared" si="51"/>
        <v>1500</v>
      </c>
      <c r="F51" s="7">
        <f t="shared" si="51"/>
        <v>1000</v>
      </c>
      <c r="G51" s="7">
        <f t="shared" si="51"/>
        <v>1000</v>
      </c>
      <c r="H51" s="7">
        <f>SUM(B51:G51)</f>
        <v>18500</v>
      </c>
      <c r="I51" s="56"/>
    </row>
    <row r="52" spans="1:9" ht="14.5" customHeight="1" x14ac:dyDescent="0.45">
      <c r="A52" s="16" t="s">
        <v>31</v>
      </c>
      <c r="B52" s="7">
        <v>4500</v>
      </c>
      <c r="C52" s="7">
        <v>2500</v>
      </c>
      <c r="D52" s="7">
        <v>1000</v>
      </c>
      <c r="E52" s="7">
        <v>750</v>
      </c>
      <c r="F52" s="7">
        <v>500</v>
      </c>
      <c r="G52" s="7">
        <v>500</v>
      </c>
      <c r="H52" s="7">
        <f>SUM(B52:G52)</f>
        <v>9750</v>
      </c>
      <c r="I52" s="56"/>
    </row>
    <row r="53" spans="1:9" ht="23.15" customHeight="1" x14ac:dyDescent="0.45">
      <c r="A53" s="93" t="s">
        <v>45</v>
      </c>
      <c r="B53" s="94"/>
      <c r="C53" s="94"/>
      <c r="D53" s="94"/>
      <c r="E53" s="94"/>
      <c r="F53" s="94"/>
      <c r="G53" s="94"/>
      <c r="H53" s="94"/>
      <c r="I53" s="95"/>
    </row>
    <row r="54" spans="1:9" x14ac:dyDescent="0.45">
      <c r="A54" s="93" t="s">
        <v>46</v>
      </c>
      <c r="B54" s="94"/>
      <c r="C54" s="94"/>
      <c r="D54" s="94"/>
      <c r="E54" s="94"/>
      <c r="F54" s="94"/>
      <c r="G54" s="94"/>
      <c r="H54" s="94"/>
      <c r="I54" s="95"/>
    </row>
    <row r="55" spans="1:9" x14ac:dyDescent="0.45">
      <c r="A55" s="93" t="s">
        <v>43</v>
      </c>
      <c r="B55" s="94"/>
      <c r="C55" s="94"/>
      <c r="D55" s="94"/>
      <c r="E55" s="94"/>
      <c r="F55" s="94"/>
      <c r="G55" s="94"/>
      <c r="H55" s="94"/>
      <c r="I55" s="95"/>
    </row>
    <row r="56" spans="1:9" x14ac:dyDescent="0.45">
      <c r="A56" s="93" t="s">
        <v>32</v>
      </c>
      <c r="B56" s="94"/>
      <c r="C56" s="94"/>
      <c r="D56" s="94"/>
      <c r="E56" s="94"/>
      <c r="F56" s="94"/>
      <c r="G56" s="94"/>
      <c r="H56" s="94"/>
      <c r="I56" s="95"/>
    </row>
    <row r="57" spans="1:9" ht="28" customHeight="1" x14ac:dyDescent="0.45">
      <c r="A57" s="93" t="s">
        <v>73</v>
      </c>
      <c r="B57" s="94"/>
      <c r="C57" s="94"/>
      <c r="D57" s="94"/>
      <c r="E57" s="94"/>
      <c r="F57" s="94"/>
      <c r="G57" s="94"/>
      <c r="H57" s="94"/>
      <c r="I57" s="95"/>
    </row>
    <row r="58" spans="1:9" ht="13.5" customHeight="1" x14ac:dyDescent="0.45">
      <c r="A58" s="93" t="s">
        <v>9</v>
      </c>
      <c r="B58" s="94"/>
      <c r="C58" s="94"/>
      <c r="D58" s="94"/>
      <c r="E58" s="94"/>
      <c r="F58" s="94"/>
      <c r="G58" s="94"/>
      <c r="H58" s="94"/>
      <c r="I58" s="95"/>
    </row>
    <row r="60" spans="1:9" ht="28.75" customHeight="1" x14ac:dyDescent="0.45"/>
    <row r="61" spans="1:9" ht="39" customHeight="1" x14ac:dyDescent="0.45"/>
  </sheetData>
  <mergeCells count="25">
    <mergeCell ref="A1:I1"/>
    <mergeCell ref="A2:I2"/>
    <mergeCell ref="A57:I57"/>
    <mergeCell ref="A44:I46"/>
    <mergeCell ref="A5:A9"/>
    <mergeCell ref="A10:A14"/>
    <mergeCell ref="A25:B25"/>
    <mergeCell ref="A20:A24"/>
    <mergeCell ref="A15:A19"/>
    <mergeCell ref="A27:A30"/>
    <mergeCell ref="A31:A34"/>
    <mergeCell ref="A35:A38"/>
    <mergeCell ref="A39:A42"/>
    <mergeCell ref="A43:B43"/>
    <mergeCell ref="A4:I4"/>
    <mergeCell ref="A26:I26"/>
    <mergeCell ref="A58:I58"/>
    <mergeCell ref="A53:I53"/>
    <mergeCell ref="A54:I54"/>
    <mergeCell ref="A55:I55"/>
    <mergeCell ref="A56:I56"/>
    <mergeCell ref="A47:B49"/>
    <mergeCell ref="C47:D47"/>
    <mergeCell ref="C48:D48"/>
    <mergeCell ref="C49:D49"/>
  </mergeCells>
  <pageMargins left="0.7" right="0.7" top="0.75" bottom="0.75" header="0.3" footer="0.3"/>
  <pageSetup paperSize="9" scale="3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50"/>
  <sheetViews>
    <sheetView zoomScale="77" workbookViewId="0">
      <selection activeCell="A4" sqref="A4:I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 x14ac:dyDescent="0.45">
      <c r="A1" s="71" t="s">
        <v>89</v>
      </c>
      <c r="B1" s="71"/>
      <c r="C1" s="71"/>
      <c r="D1" s="71"/>
      <c r="E1" s="71"/>
      <c r="F1" s="71"/>
      <c r="G1" s="71"/>
      <c r="H1" s="71"/>
      <c r="I1" s="71"/>
    </row>
    <row r="2" spans="1:15" ht="46.5" customHeight="1" x14ac:dyDescent="0.45">
      <c r="A2" s="72" t="s">
        <v>102</v>
      </c>
      <c r="B2" s="71"/>
      <c r="C2" s="71"/>
      <c r="D2" s="71"/>
      <c r="E2" s="71"/>
      <c r="F2" s="71"/>
      <c r="G2" s="71"/>
      <c r="H2" s="71"/>
      <c r="I2" s="71"/>
    </row>
    <row r="3" spans="1:15" ht="85.5" customHeight="1" x14ac:dyDescent="0.45">
      <c r="A3" s="43" t="s">
        <v>1</v>
      </c>
      <c r="B3" s="44" t="s">
        <v>2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15" x14ac:dyDescent="0.45">
      <c r="A4" s="75" t="s">
        <v>0</v>
      </c>
      <c r="B4" s="76"/>
      <c r="C4" s="76"/>
      <c r="D4" s="76"/>
      <c r="E4" s="76"/>
      <c r="F4" s="76"/>
      <c r="G4" s="76"/>
      <c r="H4" s="76"/>
      <c r="I4" s="76"/>
    </row>
    <row r="5" spans="1:15" x14ac:dyDescent="0.45">
      <c r="A5" s="81" t="s">
        <v>38</v>
      </c>
      <c r="B5" s="27" t="s">
        <v>10</v>
      </c>
      <c r="C5" s="2">
        <v>69100</v>
      </c>
      <c r="D5" s="2">
        <f>C5</f>
        <v>69100</v>
      </c>
      <c r="E5" s="2">
        <f t="shared" ref="E5:I5" si="0">D5</f>
        <v>69100</v>
      </c>
      <c r="F5" s="2">
        <f t="shared" si="0"/>
        <v>69100</v>
      </c>
      <c r="G5" s="2">
        <f t="shared" si="0"/>
        <v>69100</v>
      </c>
      <c r="H5" s="2">
        <f t="shared" si="0"/>
        <v>69100</v>
      </c>
      <c r="I5" s="2">
        <f t="shared" si="0"/>
        <v>69100</v>
      </c>
    </row>
    <row r="6" spans="1:15" x14ac:dyDescent="0.45">
      <c r="A6" s="82"/>
      <c r="B6" s="27" t="s">
        <v>11</v>
      </c>
      <c r="C6" s="2">
        <v>15000</v>
      </c>
      <c r="D6" s="2">
        <v>13000</v>
      </c>
      <c r="E6" s="2">
        <v>11000</v>
      </c>
      <c r="F6" s="2">
        <v>9000</v>
      </c>
      <c r="G6" s="2">
        <v>7000</v>
      </c>
      <c r="H6" s="2">
        <v>5000</v>
      </c>
      <c r="I6" s="2">
        <v>3000</v>
      </c>
    </row>
    <row r="7" spans="1:15" x14ac:dyDescent="0.45">
      <c r="A7" s="82"/>
      <c r="B7" s="58" t="s">
        <v>44</v>
      </c>
      <c r="C7" s="59">
        <v>14000</v>
      </c>
      <c r="D7" s="59">
        <f>C7</f>
        <v>14000</v>
      </c>
      <c r="E7" s="59">
        <f t="shared" ref="E7:I7" si="1">D7</f>
        <v>14000</v>
      </c>
      <c r="F7" s="59">
        <f t="shared" si="1"/>
        <v>14000</v>
      </c>
      <c r="G7" s="59">
        <f t="shared" si="1"/>
        <v>14000</v>
      </c>
      <c r="H7" s="59">
        <f t="shared" si="1"/>
        <v>14000</v>
      </c>
      <c r="I7" s="59">
        <f t="shared" si="1"/>
        <v>14000</v>
      </c>
    </row>
    <row r="8" spans="1:15" x14ac:dyDescent="0.45">
      <c r="A8" s="82"/>
      <c r="B8" s="58" t="s">
        <v>47</v>
      </c>
      <c r="C8" s="59">
        <f>(((C5-C6)*0.95)*2)-C7*2</f>
        <v>74790</v>
      </c>
      <c r="D8" s="59">
        <f t="shared" ref="D8:I8" si="2">(((D5-D6)*0.95)*2)-D7*2</f>
        <v>78590</v>
      </c>
      <c r="E8" s="59">
        <f t="shared" si="2"/>
        <v>82390</v>
      </c>
      <c r="F8" s="59">
        <f t="shared" si="2"/>
        <v>86190</v>
      </c>
      <c r="G8" s="59">
        <f t="shared" si="2"/>
        <v>89990</v>
      </c>
      <c r="H8" s="59">
        <f t="shared" si="2"/>
        <v>93790</v>
      </c>
      <c r="I8" s="59">
        <f t="shared" si="2"/>
        <v>97590</v>
      </c>
    </row>
    <row r="9" spans="1:15" x14ac:dyDescent="0.45">
      <c r="A9" s="82"/>
      <c r="B9" s="58" t="s">
        <v>48</v>
      </c>
      <c r="C9" s="59">
        <f>(C5-C6)-C7</f>
        <v>40100</v>
      </c>
      <c r="D9" s="59">
        <f t="shared" ref="D9:I9" si="3">(D5-D6)-D7</f>
        <v>42100</v>
      </c>
      <c r="E9" s="59">
        <f t="shared" si="3"/>
        <v>44100</v>
      </c>
      <c r="F9" s="59">
        <f t="shared" si="3"/>
        <v>46100</v>
      </c>
      <c r="G9" s="59">
        <f t="shared" si="3"/>
        <v>48100</v>
      </c>
      <c r="H9" s="59">
        <f t="shared" si="3"/>
        <v>50100</v>
      </c>
      <c r="I9" s="59">
        <f t="shared" si="3"/>
        <v>52100</v>
      </c>
      <c r="J9" s="19"/>
      <c r="K9" s="19"/>
      <c r="L9" s="19"/>
      <c r="M9" s="19"/>
      <c r="N9" s="19"/>
      <c r="O9" s="19"/>
    </row>
    <row r="10" spans="1:15" ht="16" customHeight="1" x14ac:dyDescent="0.45">
      <c r="A10" s="81" t="s">
        <v>39</v>
      </c>
      <c r="B10" s="27" t="s">
        <v>12</v>
      </c>
      <c r="C10" s="2">
        <v>70900</v>
      </c>
      <c r="D10" s="2">
        <f t="shared" ref="D10:I10" si="4">C10</f>
        <v>70900</v>
      </c>
      <c r="E10" s="2">
        <f t="shared" si="4"/>
        <v>70900</v>
      </c>
      <c r="F10" s="2">
        <f t="shared" si="4"/>
        <v>70900</v>
      </c>
      <c r="G10" s="2">
        <f t="shared" si="4"/>
        <v>70900</v>
      </c>
      <c r="H10" s="2">
        <f t="shared" si="4"/>
        <v>70900</v>
      </c>
      <c r="I10" s="2">
        <f t="shared" si="4"/>
        <v>70900</v>
      </c>
    </row>
    <row r="11" spans="1:15" x14ac:dyDescent="0.45">
      <c r="A11" s="82"/>
      <c r="B11" s="27" t="s">
        <v>11</v>
      </c>
      <c r="C11" s="2">
        <f t="shared" ref="C11:I11" si="5">C6</f>
        <v>15000</v>
      </c>
      <c r="D11" s="2">
        <f t="shared" si="5"/>
        <v>13000</v>
      </c>
      <c r="E11" s="2">
        <f t="shared" si="5"/>
        <v>11000</v>
      </c>
      <c r="F11" s="2">
        <f t="shared" si="5"/>
        <v>9000</v>
      </c>
      <c r="G11" s="2">
        <f t="shared" si="5"/>
        <v>7000</v>
      </c>
      <c r="H11" s="2">
        <f t="shared" si="5"/>
        <v>5000</v>
      </c>
      <c r="I11" s="2">
        <f t="shared" si="5"/>
        <v>3000</v>
      </c>
    </row>
    <row r="12" spans="1:15" x14ac:dyDescent="0.45">
      <c r="A12" s="82"/>
      <c r="B12" s="60" t="s">
        <v>44</v>
      </c>
      <c r="C12" s="61">
        <f>C7</f>
        <v>14000</v>
      </c>
      <c r="D12" s="61">
        <f>C12</f>
        <v>14000</v>
      </c>
      <c r="E12" s="61">
        <f t="shared" ref="E12:I12" si="6">D12</f>
        <v>14000</v>
      </c>
      <c r="F12" s="61">
        <f t="shared" si="6"/>
        <v>14000</v>
      </c>
      <c r="G12" s="61">
        <f t="shared" si="6"/>
        <v>14000</v>
      </c>
      <c r="H12" s="61">
        <f t="shared" si="6"/>
        <v>14000</v>
      </c>
      <c r="I12" s="61">
        <f t="shared" si="6"/>
        <v>14000</v>
      </c>
    </row>
    <row r="13" spans="1:15" x14ac:dyDescent="0.45">
      <c r="A13" s="82"/>
      <c r="B13" s="60" t="s">
        <v>47</v>
      </c>
      <c r="C13" s="61">
        <f>(((C10-C11)*0.95)*2)-C12*2</f>
        <v>78210</v>
      </c>
      <c r="D13" s="61">
        <f t="shared" ref="D13:I13" si="7">(((D10-D11)*0.95)*2)-D12*2</f>
        <v>82010</v>
      </c>
      <c r="E13" s="61">
        <f t="shared" si="7"/>
        <v>85810</v>
      </c>
      <c r="F13" s="61">
        <f t="shared" si="7"/>
        <v>89610</v>
      </c>
      <c r="G13" s="61">
        <f t="shared" si="7"/>
        <v>93410</v>
      </c>
      <c r="H13" s="61">
        <f t="shared" si="7"/>
        <v>97210</v>
      </c>
      <c r="I13" s="61">
        <f t="shared" si="7"/>
        <v>101010</v>
      </c>
    </row>
    <row r="14" spans="1:15" x14ac:dyDescent="0.45">
      <c r="A14" s="82"/>
      <c r="B14" s="60" t="s">
        <v>48</v>
      </c>
      <c r="C14" s="61">
        <f>(C10-C11)-C12</f>
        <v>41900</v>
      </c>
      <c r="D14" s="61">
        <f t="shared" ref="D14:I14" si="8">(D10-D11)-D12</f>
        <v>43900</v>
      </c>
      <c r="E14" s="61">
        <f t="shared" si="8"/>
        <v>45900</v>
      </c>
      <c r="F14" s="61">
        <f t="shared" si="8"/>
        <v>47900</v>
      </c>
      <c r="G14" s="61">
        <f t="shared" si="8"/>
        <v>49900</v>
      </c>
      <c r="H14" s="61">
        <f t="shared" si="8"/>
        <v>51900</v>
      </c>
      <c r="I14" s="61">
        <f t="shared" si="8"/>
        <v>53900</v>
      </c>
    </row>
    <row r="15" spans="1:15" x14ac:dyDescent="0.45">
      <c r="A15" s="81" t="s">
        <v>40</v>
      </c>
      <c r="B15" s="27" t="s">
        <v>12</v>
      </c>
      <c r="C15" s="2">
        <f>C10*1.05</f>
        <v>74445</v>
      </c>
      <c r="D15" s="2">
        <f t="shared" ref="D15:I15" si="9">C15</f>
        <v>74445</v>
      </c>
      <c r="E15" s="2">
        <f t="shared" si="9"/>
        <v>74445</v>
      </c>
      <c r="F15" s="2">
        <f t="shared" si="9"/>
        <v>74445</v>
      </c>
      <c r="G15" s="2">
        <f t="shared" si="9"/>
        <v>74445</v>
      </c>
      <c r="H15" s="2">
        <f t="shared" si="9"/>
        <v>74445</v>
      </c>
      <c r="I15" s="2">
        <f t="shared" si="9"/>
        <v>74445</v>
      </c>
    </row>
    <row r="16" spans="1:15" x14ac:dyDescent="0.45">
      <c r="A16" s="82"/>
      <c r="B16" s="27" t="s">
        <v>11</v>
      </c>
      <c r="C16" s="2">
        <f t="shared" ref="C16:I16" si="10">C11</f>
        <v>15000</v>
      </c>
      <c r="D16" s="2">
        <f t="shared" si="10"/>
        <v>13000</v>
      </c>
      <c r="E16" s="2">
        <f t="shared" si="10"/>
        <v>11000</v>
      </c>
      <c r="F16" s="2">
        <f t="shared" si="10"/>
        <v>9000</v>
      </c>
      <c r="G16" s="2">
        <f t="shared" si="10"/>
        <v>7000</v>
      </c>
      <c r="H16" s="2">
        <f t="shared" si="10"/>
        <v>5000</v>
      </c>
      <c r="I16" s="2">
        <f t="shared" si="10"/>
        <v>3000</v>
      </c>
    </row>
    <row r="17" spans="1:15" x14ac:dyDescent="0.45">
      <c r="A17" s="82"/>
      <c r="B17" s="62" t="s">
        <v>44</v>
      </c>
      <c r="C17" s="63">
        <f>C12</f>
        <v>14000</v>
      </c>
      <c r="D17" s="63">
        <f>C17</f>
        <v>14000</v>
      </c>
      <c r="E17" s="63">
        <f t="shared" ref="E17" si="11">D17</f>
        <v>14000</v>
      </c>
      <c r="F17" s="63">
        <f t="shared" ref="F17" si="12">E17</f>
        <v>14000</v>
      </c>
      <c r="G17" s="63">
        <f t="shared" ref="G17" si="13">F17</f>
        <v>14000</v>
      </c>
      <c r="H17" s="63">
        <f t="shared" ref="H17" si="14">G17</f>
        <v>14000</v>
      </c>
      <c r="I17" s="63">
        <f t="shared" ref="I17" si="15">H17</f>
        <v>14000</v>
      </c>
    </row>
    <row r="18" spans="1:15" x14ac:dyDescent="0.45">
      <c r="A18" s="82"/>
      <c r="B18" s="62" t="s">
        <v>47</v>
      </c>
      <c r="C18" s="63">
        <f>(((C15-C16)*0.95)*2)-C17*2</f>
        <v>84945.5</v>
      </c>
      <c r="D18" s="63">
        <f t="shared" ref="D18:I18" si="16">(((D15-D16)*0.95)*2)-D17*2</f>
        <v>88745.5</v>
      </c>
      <c r="E18" s="63">
        <f t="shared" si="16"/>
        <v>92545.5</v>
      </c>
      <c r="F18" s="63">
        <f t="shared" si="16"/>
        <v>96345.5</v>
      </c>
      <c r="G18" s="63">
        <f t="shared" si="16"/>
        <v>100145.5</v>
      </c>
      <c r="H18" s="63">
        <f t="shared" si="16"/>
        <v>103945.5</v>
      </c>
      <c r="I18" s="63">
        <f t="shared" si="16"/>
        <v>107745.5</v>
      </c>
    </row>
    <row r="19" spans="1:15" x14ac:dyDescent="0.45">
      <c r="A19" s="82"/>
      <c r="B19" s="62" t="s">
        <v>48</v>
      </c>
      <c r="C19" s="63">
        <f>(C15-C16)-C17</f>
        <v>45445</v>
      </c>
      <c r="D19" s="63">
        <f t="shared" ref="D19:I19" si="17">(D15-D16)-D17</f>
        <v>47445</v>
      </c>
      <c r="E19" s="63">
        <f t="shared" si="17"/>
        <v>49445</v>
      </c>
      <c r="F19" s="63">
        <f t="shared" si="17"/>
        <v>51445</v>
      </c>
      <c r="G19" s="63">
        <f t="shared" si="17"/>
        <v>53445</v>
      </c>
      <c r="H19" s="63">
        <f t="shared" si="17"/>
        <v>55445</v>
      </c>
      <c r="I19" s="63">
        <f t="shared" si="17"/>
        <v>57445</v>
      </c>
    </row>
    <row r="20" spans="1:15" x14ac:dyDescent="0.45">
      <c r="A20" s="83" t="s">
        <v>13</v>
      </c>
      <c r="B20" s="83"/>
      <c r="C20" s="63">
        <f t="shared" ref="C20:I20" si="18">SUM(C8,C13,C18)</f>
        <v>237945.5</v>
      </c>
      <c r="D20" s="63">
        <f t="shared" si="18"/>
        <v>249345.5</v>
      </c>
      <c r="E20" s="63">
        <f t="shared" si="18"/>
        <v>260745.5</v>
      </c>
      <c r="F20" s="63">
        <f t="shared" si="18"/>
        <v>272145.5</v>
      </c>
      <c r="G20" s="63">
        <f t="shared" si="18"/>
        <v>283545.5</v>
      </c>
      <c r="H20" s="63">
        <f t="shared" si="18"/>
        <v>294945.5</v>
      </c>
      <c r="I20" s="63">
        <f t="shared" si="18"/>
        <v>306345.5</v>
      </c>
    </row>
    <row r="21" spans="1:15" x14ac:dyDescent="0.45">
      <c r="A21" s="75" t="s">
        <v>14</v>
      </c>
      <c r="B21" s="76"/>
      <c r="C21" s="76"/>
      <c r="D21" s="76"/>
      <c r="E21" s="76"/>
      <c r="F21" s="76"/>
      <c r="G21" s="76"/>
      <c r="H21" s="76"/>
      <c r="I21" s="76"/>
    </row>
    <row r="22" spans="1:15" ht="28" customHeight="1" x14ac:dyDescent="0.45">
      <c r="A22" s="81" t="s">
        <v>38</v>
      </c>
      <c r="B22" s="15" t="s">
        <v>15</v>
      </c>
      <c r="C22" s="2">
        <f>C5*0.75</f>
        <v>51825</v>
      </c>
      <c r="D22" s="2">
        <f t="shared" ref="D22:I22" si="19">C22</f>
        <v>51825</v>
      </c>
      <c r="E22" s="2">
        <f t="shared" si="19"/>
        <v>51825</v>
      </c>
      <c r="F22" s="2">
        <f t="shared" si="19"/>
        <v>51825</v>
      </c>
      <c r="G22" s="2">
        <f t="shared" si="19"/>
        <v>51825</v>
      </c>
      <c r="H22" s="2">
        <f t="shared" si="19"/>
        <v>51825</v>
      </c>
      <c r="I22" s="2">
        <f t="shared" si="19"/>
        <v>51825</v>
      </c>
    </row>
    <row r="23" spans="1:15" x14ac:dyDescent="0.45">
      <c r="A23" s="82"/>
      <c r="B23" s="15" t="s">
        <v>11</v>
      </c>
      <c r="C23" s="2">
        <v>15000</v>
      </c>
      <c r="D23" s="2">
        <v>13000</v>
      </c>
      <c r="E23" s="2">
        <v>11000</v>
      </c>
      <c r="F23" s="2">
        <v>9000</v>
      </c>
      <c r="G23" s="2">
        <v>7000</v>
      </c>
      <c r="H23" s="2">
        <v>5000</v>
      </c>
      <c r="I23" s="2">
        <v>3000</v>
      </c>
    </row>
    <row r="24" spans="1:15" x14ac:dyDescent="0.45">
      <c r="A24" s="82"/>
      <c r="B24" s="58" t="s">
        <v>47</v>
      </c>
      <c r="C24" s="59">
        <f>((C22-C23)*0.95)*2</f>
        <v>69967.5</v>
      </c>
      <c r="D24" s="59">
        <f t="shared" ref="D24:I24" si="20">((D22-D23)*0.95)*2</f>
        <v>73767.5</v>
      </c>
      <c r="E24" s="59">
        <f t="shared" si="20"/>
        <v>77567.5</v>
      </c>
      <c r="F24" s="59">
        <f t="shared" si="20"/>
        <v>81367.5</v>
      </c>
      <c r="G24" s="59">
        <f t="shared" si="20"/>
        <v>85167.5</v>
      </c>
      <c r="H24" s="59">
        <f t="shared" si="20"/>
        <v>88967.5</v>
      </c>
      <c r="I24" s="59">
        <f t="shared" si="20"/>
        <v>92767.5</v>
      </c>
    </row>
    <row r="25" spans="1:15" x14ac:dyDescent="0.45">
      <c r="A25" s="82"/>
      <c r="B25" s="33" t="s">
        <v>48</v>
      </c>
      <c r="C25" s="59">
        <f>(C22-C23)</f>
        <v>36825</v>
      </c>
      <c r="D25" s="59">
        <f t="shared" ref="D25:I25" si="21">(D22-D23)</f>
        <v>38825</v>
      </c>
      <c r="E25" s="59">
        <f t="shared" si="21"/>
        <v>40825</v>
      </c>
      <c r="F25" s="59">
        <f t="shared" si="21"/>
        <v>42825</v>
      </c>
      <c r="G25" s="59">
        <f t="shared" si="21"/>
        <v>44825</v>
      </c>
      <c r="H25" s="59">
        <f t="shared" si="21"/>
        <v>46825</v>
      </c>
      <c r="I25" s="59">
        <f t="shared" si="21"/>
        <v>48825</v>
      </c>
      <c r="J25" s="19"/>
      <c r="K25" s="19"/>
      <c r="L25" s="19"/>
      <c r="M25" s="19"/>
      <c r="N25" s="19"/>
      <c r="O25" s="19"/>
    </row>
    <row r="26" spans="1:15" ht="24" customHeight="1" x14ac:dyDescent="0.45">
      <c r="A26" s="81" t="s">
        <v>39</v>
      </c>
      <c r="B26" s="15" t="s">
        <v>15</v>
      </c>
      <c r="C26" s="2">
        <f>C10*0.75</f>
        <v>53175</v>
      </c>
      <c r="D26" s="2">
        <f t="shared" ref="D26:I26" si="22">C26</f>
        <v>53175</v>
      </c>
      <c r="E26" s="2">
        <f t="shared" si="22"/>
        <v>53175</v>
      </c>
      <c r="F26" s="2">
        <f t="shared" si="22"/>
        <v>53175</v>
      </c>
      <c r="G26" s="2">
        <f t="shared" si="22"/>
        <v>53175</v>
      </c>
      <c r="H26" s="2">
        <f t="shared" si="22"/>
        <v>53175</v>
      </c>
      <c r="I26" s="2">
        <f t="shared" si="22"/>
        <v>53175</v>
      </c>
    </row>
    <row r="27" spans="1:15" x14ac:dyDescent="0.45">
      <c r="A27" s="82"/>
      <c r="B27" s="15" t="s">
        <v>11</v>
      </c>
      <c r="C27" s="2">
        <f t="shared" ref="C27:I27" si="23">C23</f>
        <v>15000</v>
      </c>
      <c r="D27" s="2">
        <f t="shared" si="23"/>
        <v>13000</v>
      </c>
      <c r="E27" s="2">
        <f t="shared" si="23"/>
        <v>11000</v>
      </c>
      <c r="F27" s="2">
        <f t="shared" si="23"/>
        <v>9000</v>
      </c>
      <c r="G27" s="2">
        <f t="shared" si="23"/>
        <v>7000</v>
      </c>
      <c r="H27" s="2">
        <f t="shared" si="23"/>
        <v>5000</v>
      </c>
      <c r="I27" s="2">
        <f t="shared" si="23"/>
        <v>3000</v>
      </c>
      <c r="J27" s="19"/>
      <c r="K27" s="19"/>
      <c r="L27" s="19"/>
      <c r="M27" s="19"/>
      <c r="N27" s="19"/>
      <c r="O27" s="19"/>
    </row>
    <row r="28" spans="1:15" x14ac:dyDescent="0.45">
      <c r="A28" s="82"/>
      <c r="B28" s="60" t="s">
        <v>47</v>
      </c>
      <c r="C28" s="61">
        <f>((C26-C27)*0.95)*2</f>
        <v>72532.5</v>
      </c>
      <c r="D28" s="61">
        <f t="shared" ref="D28:I28" si="24">((D26-D27)*0.95)*2</f>
        <v>76332.5</v>
      </c>
      <c r="E28" s="61">
        <f t="shared" si="24"/>
        <v>80132.5</v>
      </c>
      <c r="F28" s="61">
        <f t="shared" si="24"/>
        <v>83932.5</v>
      </c>
      <c r="G28" s="61">
        <f t="shared" si="24"/>
        <v>87732.5</v>
      </c>
      <c r="H28" s="61">
        <f t="shared" si="24"/>
        <v>91532.5</v>
      </c>
      <c r="I28" s="61">
        <f t="shared" si="24"/>
        <v>95332.5</v>
      </c>
    </row>
    <row r="29" spans="1:15" x14ac:dyDescent="0.45">
      <c r="A29" s="82"/>
      <c r="B29" s="31" t="s">
        <v>48</v>
      </c>
      <c r="C29" s="61">
        <f>(C26-C27)</f>
        <v>38175</v>
      </c>
      <c r="D29" s="61">
        <f t="shared" ref="D29:I29" si="25">(D26-D27)</f>
        <v>40175</v>
      </c>
      <c r="E29" s="61">
        <f t="shared" si="25"/>
        <v>42175</v>
      </c>
      <c r="F29" s="61">
        <f t="shared" si="25"/>
        <v>44175</v>
      </c>
      <c r="G29" s="61">
        <f t="shared" si="25"/>
        <v>46175</v>
      </c>
      <c r="H29" s="61">
        <f t="shared" si="25"/>
        <v>48175</v>
      </c>
      <c r="I29" s="61">
        <f t="shared" si="25"/>
        <v>50175</v>
      </c>
    </row>
    <row r="30" spans="1:15" x14ac:dyDescent="0.45">
      <c r="A30" s="81" t="s">
        <v>40</v>
      </c>
      <c r="B30" s="15" t="s">
        <v>15</v>
      </c>
      <c r="C30" s="2">
        <f>C26*1.05</f>
        <v>55833.75</v>
      </c>
      <c r="D30" s="2">
        <f t="shared" ref="D30:I30" si="26">C30</f>
        <v>55833.75</v>
      </c>
      <c r="E30" s="2">
        <f t="shared" si="26"/>
        <v>55833.75</v>
      </c>
      <c r="F30" s="2">
        <f t="shared" si="26"/>
        <v>55833.75</v>
      </c>
      <c r="G30" s="2">
        <f t="shared" si="26"/>
        <v>55833.75</v>
      </c>
      <c r="H30" s="2">
        <f t="shared" si="26"/>
        <v>55833.75</v>
      </c>
      <c r="I30" s="2">
        <f t="shared" si="26"/>
        <v>55833.75</v>
      </c>
    </row>
    <row r="31" spans="1:15" x14ac:dyDescent="0.45">
      <c r="A31" s="82"/>
      <c r="B31" s="15" t="s">
        <v>11</v>
      </c>
      <c r="C31" s="2">
        <f t="shared" ref="C31:I31" si="27">C27</f>
        <v>15000</v>
      </c>
      <c r="D31" s="2">
        <f t="shared" si="27"/>
        <v>13000</v>
      </c>
      <c r="E31" s="2">
        <f t="shared" si="27"/>
        <v>11000</v>
      </c>
      <c r="F31" s="2">
        <f t="shared" si="27"/>
        <v>9000</v>
      </c>
      <c r="G31" s="2">
        <f t="shared" si="27"/>
        <v>7000</v>
      </c>
      <c r="H31" s="2">
        <f t="shared" si="27"/>
        <v>5000</v>
      </c>
      <c r="I31" s="2">
        <f t="shared" si="27"/>
        <v>3000</v>
      </c>
    </row>
    <row r="32" spans="1:15" x14ac:dyDescent="0.45">
      <c r="A32" s="82"/>
      <c r="B32" s="62" t="s">
        <v>47</v>
      </c>
      <c r="C32" s="63">
        <f>((C30-C31)*0.95)*2</f>
        <v>77584.125</v>
      </c>
      <c r="D32" s="63">
        <f t="shared" ref="D32:I32" si="28">((D30-D31)*0.95)*2</f>
        <v>81384.125</v>
      </c>
      <c r="E32" s="63">
        <f t="shared" si="28"/>
        <v>85184.125</v>
      </c>
      <c r="F32" s="63">
        <f t="shared" si="28"/>
        <v>88984.125</v>
      </c>
      <c r="G32" s="63">
        <f t="shared" si="28"/>
        <v>92784.125</v>
      </c>
      <c r="H32" s="63">
        <f t="shared" si="28"/>
        <v>96584.125</v>
      </c>
      <c r="I32" s="63">
        <f t="shared" si="28"/>
        <v>100384.125</v>
      </c>
    </row>
    <row r="33" spans="1:9" x14ac:dyDescent="0.45">
      <c r="A33" s="82"/>
      <c r="B33" s="32" t="s">
        <v>48</v>
      </c>
      <c r="C33" s="63">
        <f>(C30-C31)</f>
        <v>40833.75</v>
      </c>
      <c r="D33" s="63">
        <f t="shared" ref="D33:I33" si="29">(D30-D31)</f>
        <v>42833.75</v>
      </c>
      <c r="E33" s="63">
        <f t="shared" si="29"/>
        <v>44833.75</v>
      </c>
      <c r="F33" s="63">
        <f t="shared" si="29"/>
        <v>46833.75</v>
      </c>
      <c r="G33" s="63">
        <f t="shared" si="29"/>
        <v>48833.75</v>
      </c>
      <c r="H33" s="63">
        <f t="shared" si="29"/>
        <v>50833.75</v>
      </c>
      <c r="I33" s="63">
        <f t="shared" si="29"/>
        <v>52833.75</v>
      </c>
    </row>
    <row r="34" spans="1:9" x14ac:dyDescent="0.45">
      <c r="A34" s="83" t="s">
        <v>13</v>
      </c>
      <c r="B34" s="83"/>
      <c r="C34" s="63">
        <f t="shared" ref="C34:I34" si="30">SUM(C24,C28,C32)</f>
        <v>220084.125</v>
      </c>
      <c r="D34" s="63">
        <f t="shared" si="30"/>
        <v>231484.125</v>
      </c>
      <c r="E34" s="63">
        <f t="shared" si="30"/>
        <v>242884.125</v>
      </c>
      <c r="F34" s="63">
        <f t="shared" si="30"/>
        <v>254284.125</v>
      </c>
      <c r="G34" s="63">
        <f t="shared" si="30"/>
        <v>265684.125</v>
      </c>
      <c r="H34" s="63">
        <f t="shared" si="30"/>
        <v>277084.125</v>
      </c>
      <c r="I34" s="63">
        <f t="shared" si="30"/>
        <v>288484.125</v>
      </c>
    </row>
    <row r="35" spans="1:9" ht="16" customHeight="1" x14ac:dyDescent="0.45">
      <c r="A35" s="84" t="s">
        <v>16</v>
      </c>
      <c r="B35" s="84"/>
      <c r="C35" s="84"/>
      <c r="D35" s="84"/>
      <c r="E35" s="84"/>
      <c r="F35" s="84"/>
      <c r="G35" s="84"/>
      <c r="H35" s="84"/>
      <c r="I35" s="84"/>
    </row>
    <row r="36" spans="1:9" ht="4" customHeight="1" x14ac:dyDescent="0.45">
      <c r="A36" s="84"/>
      <c r="B36" s="84"/>
      <c r="C36" s="84"/>
      <c r="D36" s="84"/>
      <c r="E36" s="84"/>
      <c r="F36" s="84"/>
      <c r="G36" s="84"/>
      <c r="H36" s="84"/>
      <c r="I36" s="84"/>
    </row>
    <row r="37" spans="1:9" ht="2.15" customHeight="1" x14ac:dyDescent="0.45">
      <c r="A37" s="84"/>
      <c r="B37" s="84"/>
      <c r="C37" s="84"/>
      <c r="D37" s="84"/>
      <c r="E37" s="84"/>
      <c r="F37" s="84"/>
      <c r="G37" s="84"/>
      <c r="H37" s="84"/>
      <c r="I37" s="84"/>
    </row>
    <row r="38" spans="1:9" x14ac:dyDescent="0.45">
      <c r="A38" s="64" t="s">
        <v>17</v>
      </c>
      <c r="B38" s="64"/>
      <c r="C38" s="86" t="s">
        <v>18</v>
      </c>
      <c r="D38" s="86"/>
      <c r="E38" s="7">
        <v>5000</v>
      </c>
      <c r="F38" s="57"/>
      <c r="G38" s="65"/>
      <c r="H38" s="56"/>
      <c r="I38" s="56"/>
    </row>
    <row r="39" spans="1:9" x14ac:dyDescent="0.45">
      <c r="A39" s="64"/>
      <c r="B39" s="64"/>
      <c r="C39" s="86" t="s">
        <v>19</v>
      </c>
      <c r="D39" s="86"/>
      <c r="E39" s="7">
        <v>3000</v>
      </c>
      <c r="F39" s="57"/>
      <c r="G39" s="65"/>
      <c r="H39" s="56"/>
      <c r="I39" s="56"/>
    </row>
    <row r="40" spans="1:9" x14ac:dyDescent="0.45">
      <c r="A40" s="64"/>
      <c r="B40" s="64"/>
      <c r="C40" s="87" t="s">
        <v>20</v>
      </c>
      <c r="D40" s="87"/>
      <c r="E40" s="7">
        <v>3000</v>
      </c>
      <c r="F40" s="66"/>
      <c r="G40" s="67"/>
      <c r="H40" s="56"/>
      <c r="I40" s="56"/>
    </row>
    <row r="41" spans="1:9" ht="23.15" x14ac:dyDescent="0.45">
      <c r="A41" s="20" t="s">
        <v>21</v>
      </c>
      <c r="B41" s="20" t="s">
        <v>22</v>
      </c>
      <c r="C41" s="21" t="s">
        <v>23</v>
      </c>
      <c r="D41" s="21" t="s">
        <v>24</v>
      </c>
      <c r="E41" s="21" t="s">
        <v>25</v>
      </c>
      <c r="F41" s="21" t="s">
        <v>26</v>
      </c>
      <c r="G41" s="20" t="s">
        <v>27</v>
      </c>
      <c r="H41" s="20" t="s">
        <v>28</v>
      </c>
      <c r="I41" s="20" t="s">
        <v>29</v>
      </c>
    </row>
    <row r="42" spans="1:9" x14ac:dyDescent="0.45">
      <c r="A42" s="16" t="s">
        <v>30</v>
      </c>
      <c r="B42" s="7">
        <f>B43*2</f>
        <v>7000</v>
      </c>
      <c r="C42" s="7">
        <f t="shared" ref="C42:H42" si="31">C43*2</f>
        <v>5000</v>
      </c>
      <c r="D42" s="7">
        <v>1000</v>
      </c>
      <c r="E42" s="7">
        <f t="shared" si="31"/>
        <v>1500</v>
      </c>
      <c r="F42" s="7">
        <f t="shared" si="31"/>
        <v>1000</v>
      </c>
      <c r="G42" s="7">
        <f t="shared" si="31"/>
        <v>1000</v>
      </c>
      <c r="H42" s="7">
        <f t="shared" si="31"/>
        <v>2000</v>
      </c>
      <c r="I42" s="7">
        <f>SUM(B42:H42)</f>
        <v>18500</v>
      </c>
    </row>
    <row r="43" spans="1:9" x14ac:dyDescent="0.45">
      <c r="A43" s="16" t="s">
        <v>31</v>
      </c>
      <c r="B43" s="7">
        <v>3500</v>
      </c>
      <c r="C43" s="7">
        <v>2500</v>
      </c>
      <c r="D43" s="22">
        <v>1000</v>
      </c>
      <c r="E43" s="22">
        <v>750</v>
      </c>
      <c r="F43" s="22">
        <v>500</v>
      </c>
      <c r="G43" s="7">
        <v>500</v>
      </c>
      <c r="H43" s="7">
        <v>1000</v>
      </c>
      <c r="I43" s="7">
        <f>SUM(B43:H43)</f>
        <v>9750</v>
      </c>
    </row>
    <row r="44" spans="1:9" ht="16" customHeight="1" x14ac:dyDescent="0.45">
      <c r="A44" s="91" t="s">
        <v>45</v>
      </c>
      <c r="B44" s="91"/>
      <c r="C44" s="91"/>
      <c r="D44" s="91"/>
      <c r="E44" s="91"/>
      <c r="F44" s="91"/>
      <c r="G44" s="91"/>
      <c r="H44" s="91"/>
      <c r="I44" s="91"/>
    </row>
    <row r="45" spans="1:9" ht="24" customHeight="1" x14ac:dyDescent="0.45">
      <c r="A45" s="91" t="s">
        <v>46</v>
      </c>
      <c r="B45" s="91"/>
      <c r="C45" s="91"/>
      <c r="D45" s="91"/>
      <c r="E45" s="91"/>
      <c r="F45" s="91"/>
      <c r="G45" s="91"/>
      <c r="H45" s="91"/>
      <c r="I45" s="91"/>
    </row>
    <row r="46" spans="1:9" ht="41.15" customHeight="1" x14ac:dyDescent="0.45">
      <c r="A46" s="92" t="s">
        <v>43</v>
      </c>
      <c r="B46" s="92"/>
      <c r="C46" s="92"/>
      <c r="D46" s="92"/>
      <c r="E46" s="92"/>
      <c r="F46" s="92"/>
      <c r="G46" s="92"/>
      <c r="H46" s="92"/>
      <c r="I46" s="92"/>
    </row>
    <row r="47" spans="1:9" x14ac:dyDescent="0.45">
      <c r="A47" s="91" t="s">
        <v>32</v>
      </c>
      <c r="B47" s="91"/>
      <c r="C47" s="91"/>
      <c r="D47" s="91"/>
      <c r="E47" s="91"/>
      <c r="F47" s="91"/>
      <c r="G47" s="91"/>
      <c r="H47" s="91"/>
      <c r="I47" s="91"/>
    </row>
    <row r="48" spans="1:9" x14ac:dyDescent="0.45">
      <c r="A48" s="96" t="s">
        <v>82</v>
      </c>
      <c r="B48" s="96"/>
      <c r="C48" s="96"/>
      <c r="D48" s="96"/>
      <c r="E48" s="96"/>
      <c r="F48" s="96"/>
      <c r="G48" s="96"/>
      <c r="H48" s="96"/>
      <c r="I48" s="96"/>
    </row>
    <row r="49" spans="1:9" x14ac:dyDescent="0.45">
      <c r="A49" s="73" t="s">
        <v>9</v>
      </c>
      <c r="B49" s="74"/>
      <c r="C49" s="74"/>
      <c r="D49" s="74"/>
      <c r="E49" s="74"/>
      <c r="F49" s="74"/>
      <c r="G49" s="74"/>
      <c r="H49" s="74"/>
      <c r="I49" s="88"/>
    </row>
    <row r="50" spans="1:9" x14ac:dyDescent="0.45">
      <c r="A50" s="56"/>
      <c r="B50" s="56"/>
      <c r="C50" s="56"/>
      <c r="D50" s="56"/>
      <c r="E50" s="56"/>
      <c r="F50" s="56"/>
      <c r="G50" s="56"/>
      <c r="H50" s="56"/>
      <c r="I50" s="56"/>
    </row>
  </sheetData>
  <mergeCells count="22">
    <mergeCell ref="A1:I1"/>
    <mergeCell ref="A2:I2"/>
    <mergeCell ref="A48:I48"/>
    <mergeCell ref="C38:D38"/>
    <mergeCell ref="A5:A9"/>
    <mergeCell ref="A10:A14"/>
    <mergeCell ref="A15:A19"/>
    <mergeCell ref="A20:B20"/>
    <mergeCell ref="A22:A25"/>
    <mergeCell ref="A26:A29"/>
    <mergeCell ref="A30:A33"/>
    <mergeCell ref="A34:B34"/>
    <mergeCell ref="A35:I37"/>
    <mergeCell ref="A4:I4"/>
    <mergeCell ref="A21:I21"/>
    <mergeCell ref="A49:I49"/>
    <mergeCell ref="A47:I47"/>
    <mergeCell ref="A44:I44"/>
    <mergeCell ref="A45:I45"/>
    <mergeCell ref="A46:I46"/>
    <mergeCell ref="C39:D39"/>
    <mergeCell ref="C40:D40"/>
  </mergeCells>
  <pageMargins left="0.7" right="0.7" top="0.75" bottom="0.75" header="0.3" footer="0.3"/>
  <pageSetup paperSize="9" scale="3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58"/>
  <sheetViews>
    <sheetView zoomScale="94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 x14ac:dyDescent="0.45">
      <c r="A1" s="71" t="s">
        <v>94</v>
      </c>
      <c r="B1" s="71"/>
      <c r="C1" s="71"/>
      <c r="D1" s="71"/>
      <c r="E1" s="71"/>
      <c r="F1" s="71"/>
      <c r="G1" s="71"/>
      <c r="H1" s="71"/>
      <c r="I1" s="71"/>
    </row>
    <row r="2" spans="1:15" ht="69" customHeight="1" x14ac:dyDescent="0.45">
      <c r="A2" s="72" t="s">
        <v>103</v>
      </c>
      <c r="B2" s="71"/>
      <c r="C2" s="71"/>
      <c r="D2" s="71"/>
      <c r="E2" s="71"/>
      <c r="F2" s="71"/>
      <c r="G2" s="71"/>
      <c r="H2" s="71"/>
      <c r="I2" s="71"/>
    </row>
    <row r="3" spans="1:15" ht="25.5" customHeight="1" x14ac:dyDescent="0.45">
      <c r="A3" s="43" t="s">
        <v>1</v>
      </c>
      <c r="B3" s="44" t="s">
        <v>2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15" x14ac:dyDescent="0.45">
      <c r="A4" s="78" t="s">
        <v>0</v>
      </c>
      <c r="B4" s="79"/>
      <c r="C4" s="79"/>
      <c r="D4" s="79"/>
      <c r="E4" s="79"/>
      <c r="F4" s="79"/>
      <c r="G4" s="79"/>
      <c r="H4" s="79"/>
      <c r="I4" s="79"/>
    </row>
    <row r="5" spans="1:15" x14ac:dyDescent="0.45">
      <c r="A5" s="81" t="s">
        <v>38</v>
      </c>
      <c r="B5" s="27" t="s">
        <v>10</v>
      </c>
      <c r="C5" s="2">
        <v>69100</v>
      </c>
      <c r="D5" s="2">
        <f>C5</f>
        <v>69100</v>
      </c>
      <c r="E5" s="2">
        <f t="shared" ref="E5:I5" si="0">D5</f>
        <v>69100</v>
      </c>
      <c r="F5" s="2">
        <f t="shared" si="0"/>
        <v>69100</v>
      </c>
      <c r="G5" s="2">
        <f t="shared" si="0"/>
        <v>69100</v>
      </c>
      <c r="H5" s="2">
        <f t="shared" si="0"/>
        <v>69100</v>
      </c>
      <c r="I5" s="2">
        <f t="shared" si="0"/>
        <v>69100</v>
      </c>
    </row>
    <row r="6" spans="1:15" x14ac:dyDescent="0.45">
      <c r="A6" s="82"/>
      <c r="B6" s="27" t="s">
        <v>11</v>
      </c>
      <c r="C6" s="2">
        <v>15000</v>
      </c>
      <c r="D6" s="2">
        <v>13000</v>
      </c>
      <c r="E6" s="2">
        <v>11000</v>
      </c>
      <c r="F6" s="2">
        <v>9000</v>
      </c>
      <c r="G6" s="2">
        <v>7000</v>
      </c>
      <c r="H6" s="2">
        <v>5000</v>
      </c>
      <c r="I6" s="2">
        <v>3000</v>
      </c>
    </row>
    <row r="7" spans="1:15" x14ac:dyDescent="0.45">
      <c r="A7" s="82"/>
      <c r="B7" s="58" t="s">
        <v>44</v>
      </c>
      <c r="C7" s="59">
        <v>14000</v>
      </c>
      <c r="D7" s="59">
        <f>C7</f>
        <v>14000</v>
      </c>
      <c r="E7" s="59">
        <f t="shared" ref="E7:I7" si="1">D7</f>
        <v>14000</v>
      </c>
      <c r="F7" s="59">
        <f t="shared" si="1"/>
        <v>14000</v>
      </c>
      <c r="G7" s="59">
        <f t="shared" si="1"/>
        <v>14000</v>
      </c>
      <c r="H7" s="59">
        <f t="shared" si="1"/>
        <v>14000</v>
      </c>
      <c r="I7" s="59">
        <f t="shared" si="1"/>
        <v>14000</v>
      </c>
    </row>
    <row r="8" spans="1:15" x14ac:dyDescent="0.45">
      <c r="A8" s="82"/>
      <c r="B8" s="58" t="s">
        <v>47</v>
      </c>
      <c r="C8" s="59">
        <f>(((C5-C6)*0.95)*2)-C7*2</f>
        <v>74790</v>
      </c>
      <c r="D8" s="59">
        <f t="shared" ref="D8:I8" si="2">(((D5-D6)*0.95)*2)-D7*2</f>
        <v>78590</v>
      </c>
      <c r="E8" s="59">
        <f t="shared" si="2"/>
        <v>82390</v>
      </c>
      <c r="F8" s="59">
        <f t="shared" si="2"/>
        <v>86190</v>
      </c>
      <c r="G8" s="59">
        <f t="shared" si="2"/>
        <v>89990</v>
      </c>
      <c r="H8" s="59">
        <f t="shared" si="2"/>
        <v>93790</v>
      </c>
      <c r="I8" s="59">
        <f t="shared" si="2"/>
        <v>97590</v>
      </c>
    </row>
    <row r="9" spans="1:15" x14ac:dyDescent="0.45">
      <c r="A9" s="82"/>
      <c r="B9" s="58" t="s">
        <v>48</v>
      </c>
      <c r="C9" s="59">
        <f>(C5-C6)-C7</f>
        <v>40100</v>
      </c>
      <c r="D9" s="59">
        <f t="shared" ref="D9:I9" si="3">(D5-D6)-D7</f>
        <v>42100</v>
      </c>
      <c r="E9" s="59">
        <f t="shared" si="3"/>
        <v>44100</v>
      </c>
      <c r="F9" s="59">
        <f t="shared" si="3"/>
        <v>46100</v>
      </c>
      <c r="G9" s="59">
        <f t="shared" si="3"/>
        <v>48100</v>
      </c>
      <c r="H9" s="59">
        <f t="shared" si="3"/>
        <v>50100</v>
      </c>
      <c r="I9" s="59">
        <f t="shared" si="3"/>
        <v>52100</v>
      </c>
      <c r="J9" s="19"/>
      <c r="K9" s="19"/>
      <c r="L9" s="19"/>
      <c r="M9" s="19"/>
      <c r="N9" s="19"/>
      <c r="O9" s="19"/>
    </row>
    <row r="10" spans="1:15" ht="16" customHeight="1" x14ac:dyDescent="0.45">
      <c r="A10" s="81" t="s">
        <v>39</v>
      </c>
      <c r="B10" s="27" t="s">
        <v>12</v>
      </c>
      <c r="C10" s="2">
        <v>70900</v>
      </c>
      <c r="D10" s="2">
        <f t="shared" ref="D10:I10" si="4">C10</f>
        <v>70900</v>
      </c>
      <c r="E10" s="2">
        <f t="shared" si="4"/>
        <v>70900</v>
      </c>
      <c r="F10" s="2">
        <f t="shared" si="4"/>
        <v>70900</v>
      </c>
      <c r="G10" s="2">
        <f t="shared" si="4"/>
        <v>70900</v>
      </c>
      <c r="H10" s="2">
        <f t="shared" si="4"/>
        <v>70900</v>
      </c>
      <c r="I10" s="2">
        <f t="shared" si="4"/>
        <v>70900</v>
      </c>
    </row>
    <row r="11" spans="1:15" x14ac:dyDescent="0.45">
      <c r="A11" s="82"/>
      <c r="B11" s="27" t="s">
        <v>11</v>
      </c>
      <c r="C11" s="2">
        <f t="shared" ref="C11:I11" si="5">C6</f>
        <v>15000</v>
      </c>
      <c r="D11" s="2">
        <f t="shared" si="5"/>
        <v>13000</v>
      </c>
      <c r="E11" s="2">
        <f t="shared" si="5"/>
        <v>11000</v>
      </c>
      <c r="F11" s="2">
        <f t="shared" si="5"/>
        <v>9000</v>
      </c>
      <c r="G11" s="2">
        <f t="shared" si="5"/>
        <v>7000</v>
      </c>
      <c r="H11" s="2">
        <f t="shared" si="5"/>
        <v>5000</v>
      </c>
      <c r="I11" s="2">
        <f t="shared" si="5"/>
        <v>3000</v>
      </c>
    </row>
    <row r="12" spans="1:15" x14ac:dyDescent="0.45">
      <c r="A12" s="82"/>
      <c r="B12" s="60" t="s">
        <v>44</v>
      </c>
      <c r="C12" s="61">
        <f>C7</f>
        <v>14000</v>
      </c>
      <c r="D12" s="61">
        <f>C12</f>
        <v>14000</v>
      </c>
      <c r="E12" s="61">
        <f t="shared" ref="E12:I12" si="6">D12</f>
        <v>14000</v>
      </c>
      <c r="F12" s="61">
        <f t="shared" si="6"/>
        <v>14000</v>
      </c>
      <c r="G12" s="61">
        <f t="shared" si="6"/>
        <v>14000</v>
      </c>
      <c r="H12" s="61">
        <f t="shared" si="6"/>
        <v>14000</v>
      </c>
      <c r="I12" s="61">
        <f t="shared" si="6"/>
        <v>14000</v>
      </c>
    </row>
    <row r="13" spans="1:15" x14ac:dyDescent="0.45">
      <c r="A13" s="82"/>
      <c r="B13" s="60" t="s">
        <v>47</v>
      </c>
      <c r="C13" s="61">
        <f>(((C10-C11)*0.95)*2)-C12*2</f>
        <v>78210</v>
      </c>
      <c r="D13" s="61">
        <f t="shared" ref="D13:I13" si="7">(((D10-D11)*0.95)*2)-D12*2</f>
        <v>82010</v>
      </c>
      <c r="E13" s="61">
        <f t="shared" si="7"/>
        <v>85810</v>
      </c>
      <c r="F13" s="61">
        <f t="shared" si="7"/>
        <v>89610</v>
      </c>
      <c r="G13" s="61">
        <f t="shared" si="7"/>
        <v>93410</v>
      </c>
      <c r="H13" s="61">
        <f t="shared" si="7"/>
        <v>97210</v>
      </c>
      <c r="I13" s="61">
        <f t="shared" si="7"/>
        <v>101010</v>
      </c>
    </row>
    <row r="14" spans="1:15" x14ac:dyDescent="0.45">
      <c r="A14" s="82"/>
      <c r="B14" s="60" t="s">
        <v>48</v>
      </c>
      <c r="C14" s="61">
        <f>(C10-C11)-C12</f>
        <v>41900</v>
      </c>
      <c r="D14" s="61">
        <f t="shared" ref="D14:I14" si="8">(D10-D11)-D12</f>
        <v>43900</v>
      </c>
      <c r="E14" s="61">
        <f t="shared" si="8"/>
        <v>45900</v>
      </c>
      <c r="F14" s="61">
        <f t="shared" si="8"/>
        <v>47900</v>
      </c>
      <c r="G14" s="61">
        <f t="shared" si="8"/>
        <v>49900</v>
      </c>
      <c r="H14" s="61">
        <f t="shared" si="8"/>
        <v>51900</v>
      </c>
      <c r="I14" s="61">
        <f t="shared" si="8"/>
        <v>53900</v>
      </c>
    </row>
    <row r="15" spans="1:15" x14ac:dyDescent="0.45">
      <c r="A15" s="81" t="s">
        <v>40</v>
      </c>
      <c r="B15" s="27" t="s">
        <v>12</v>
      </c>
      <c r="C15" s="2">
        <f>C10*1.05</f>
        <v>74445</v>
      </c>
      <c r="D15" s="2">
        <f t="shared" ref="D15:I15" si="9">C15</f>
        <v>74445</v>
      </c>
      <c r="E15" s="2">
        <f t="shared" si="9"/>
        <v>74445</v>
      </c>
      <c r="F15" s="2">
        <f t="shared" si="9"/>
        <v>74445</v>
      </c>
      <c r="G15" s="2">
        <f t="shared" si="9"/>
        <v>74445</v>
      </c>
      <c r="H15" s="2">
        <f t="shared" si="9"/>
        <v>74445</v>
      </c>
      <c r="I15" s="2">
        <f t="shared" si="9"/>
        <v>74445</v>
      </c>
    </row>
    <row r="16" spans="1:15" x14ac:dyDescent="0.45">
      <c r="A16" s="82"/>
      <c r="B16" s="27" t="s">
        <v>11</v>
      </c>
      <c r="C16" s="2">
        <f t="shared" ref="C16:I16" si="10">C11</f>
        <v>15000</v>
      </c>
      <c r="D16" s="2">
        <f t="shared" si="10"/>
        <v>13000</v>
      </c>
      <c r="E16" s="2">
        <f t="shared" si="10"/>
        <v>11000</v>
      </c>
      <c r="F16" s="2">
        <f t="shared" si="10"/>
        <v>9000</v>
      </c>
      <c r="G16" s="2">
        <f t="shared" si="10"/>
        <v>7000</v>
      </c>
      <c r="H16" s="2">
        <f t="shared" si="10"/>
        <v>5000</v>
      </c>
      <c r="I16" s="2">
        <f t="shared" si="10"/>
        <v>3000</v>
      </c>
    </row>
    <row r="17" spans="1:15" x14ac:dyDescent="0.45">
      <c r="A17" s="82"/>
      <c r="B17" s="62" t="s">
        <v>44</v>
      </c>
      <c r="C17" s="63">
        <f>C12</f>
        <v>14000</v>
      </c>
      <c r="D17" s="63">
        <f>C17</f>
        <v>14000</v>
      </c>
      <c r="E17" s="63">
        <f t="shared" ref="E17:I17" si="11">D17</f>
        <v>14000</v>
      </c>
      <c r="F17" s="63">
        <f t="shared" si="11"/>
        <v>14000</v>
      </c>
      <c r="G17" s="63">
        <f t="shared" si="11"/>
        <v>14000</v>
      </c>
      <c r="H17" s="63">
        <f t="shared" si="11"/>
        <v>14000</v>
      </c>
      <c r="I17" s="63">
        <f t="shared" si="11"/>
        <v>14000</v>
      </c>
    </row>
    <row r="18" spans="1:15" x14ac:dyDescent="0.45">
      <c r="A18" s="82"/>
      <c r="B18" s="62" t="s">
        <v>47</v>
      </c>
      <c r="C18" s="63">
        <f>(((C15-C16)*0.95)*2)-C17*2</f>
        <v>84945.5</v>
      </c>
      <c r="D18" s="63">
        <f t="shared" ref="D18:I18" si="12">(((D15-D16)*0.95)*2)-D17*2</f>
        <v>88745.5</v>
      </c>
      <c r="E18" s="63">
        <f t="shared" si="12"/>
        <v>92545.5</v>
      </c>
      <c r="F18" s="63">
        <f t="shared" si="12"/>
        <v>96345.5</v>
      </c>
      <c r="G18" s="63">
        <f t="shared" si="12"/>
        <v>100145.5</v>
      </c>
      <c r="H18" s="63">
        <f t="shared" si="12"/>
        <v>103945.5</v>
      </c>
      <c r="I18" s="63">
        <f t="shared" si="12"/>
        <v>107745.5</v>
      </c>
    </row>
    <row r="19" spans="1:15" x14ac:dyDescent="0.45">
      <c r="A19" s="82"/>
      <c r="B19" s="62" t="s">
        <v>48</v>
      </c>
      <c r="C19" s="63">
        <f>(C15-C16)-C17</f>
        <v>45445</v>
      </c>
      <c r="D19" s="63">
        <f t="shared" ref="D19:I19" si="13">(D15-D16)-D17</f>
        <v>47445</v>
      </c>
      <c r="E19" s="63">
        <f t="shared" si="13"/>
        <v>49445</v>
      </c>
      <c r="F19" s="63">
        <f t="shared" si="13"/>
        <v>51445</v>
      </c>
      <c r="G19" s="63">
        <f t="shared" si="13"/>
        <v>53445</v>
      </c>
      <c r="H19" s="63">
        <f t="shared" si="13"/>
        <v>55445</v>
      </c>
      <c r="I19" s="63">
        <f t="shared" si="13"/>
        <v>57445</v>
      </c>
    </row>
    <row r="20" spans="1:15" x14ac:dyDescent="0.45">
      <c r="A20" s="81" t="s">
        <v>41</v>
      </c>
      <c r="B20" s="27" t="s">
        <v>12</v>
      </c>
      <c r="C20" s="2">
        <f>C15*1.05</f>
        <v>78167.25</v>
      </c>
      <c r="D20" s="2">
        <f t="shared" ref="D20" si="14">C20</f>
        <v>78167.25</v>
      </c>
      <c r="E20" s="2">
        <f t="shared" ref="E20" si="15">D20</f>
        <v>78167.25</v>
      </c>
      <c r="F20" s="2">
        <f t="shared" ref="F20" si="16">E20</f>
        <v>78167.25</v>
      </c>
      <c r="G20" s="2">
        <f t="shared" ref="G20" si="17">F20</f>
        <v>78167.25</v>
      </c>
      <c r="H20" s="2">
        <f t="shared" ref="H20" si="18">G20</f>
        <v>78167.25</v>
      </c>
      <c r="I20" s="2">
        <f t="shared" ref="I20" si="19">H20</f>
        <v>78167.25</v>
      </c>
    </row>
    <row r="21" spans="1:15" x14ac:dyDescent="0.45">
      <c r="A21" s="82"/>
      <c r="B21" s="27" t="s">
        <v>11</v>
      </c>
      <c r="C21" s="2">
        <f t="shared" ref="C21:I21" si="20">C16</f>
        <v>15000</v>
      </c>
      <c r="D21" s="2">
        <f t="shared" si="20"/>
        <v>13000</v>
      </c>
      <c r="E21" s="2">
        <f t="shared" si="20"/>
        <v>11000</v>
      </c>
      <c r="F21" s="2">
        <f t="shared" si="20"/>
        <v>9000</v>
      </c>
      <c r="G21" s="2">
        <f t="shared" si="20"/>
        <v>7000</v>
      </c>
      <c r="H21" s="2">
        <f t="shared" si="20"/>
        <v>5000</v>
      </c>
      <c r="I21" s="2">
        <f t="shared" si="20"/>
        <v>3000</v>
      </c>
    </row>
    <row r="22" spans="1:15" x14ac:dyDescent="0.45">
      <c r="A22" s="82"/>
      <c r="B22" s="62" t="s">
        <v>44</v>
      </c>
      <c r="C22" s="63">
        <f>C17</f>
        <v>14000</v>
      </c>
      <c r="D22" s="63">
        <f>C22</f>
        <v>14000</v>
      </c>
      <c r="E22" s="63">
        <f t="shared" ref="E22" si="21">D22</f>
        <v>14000</v>
      </c>
      <c r="F22" s="63">
        <f t="shared" ref="F22" si="22">E22</f>
        <v>14000</v>
      </c>
      <c r="G22" s="63">
        <f t="shared" ref="G22" si="23">F22</f>
        <v>14000</v>
      </c>
      <c r="H22" s="63">
        <f t="shared" ref="H22" si="24">G22</f>
        <v>14000</v>
      </c>
      <c r="I22" s="63">
        <f t="shared" ref="I22" si="25">H22</f>
        <v>14000</v>
      </c>
    </row>
    <row r="23" spans="1:15" x14ac:dyDescent="0.45">
      <c r="A23" s="82"/>
      <c r="B23" s="62" t="s">
        <v>47</v>
      </c>
      <c r="C23" s="63">
        <f>(((C20-C21)*0.95)*2)-C22*2</f>
        <v>92017.774999999994</v>
      </c>
      <c r="D23" s="63">
        <f t="shared" ref="D23:I23" si="26">(((D20-D21)*0.95)*2)-D22*2</f>
        <v>95817.774999999994</v>
      </c>
      <c r="E23" s="63">
        <f t="shared" si="26"/>
        <v>99617.774999999994</v>
      </c>
      <c r="F23" s="63">
        <f t="shared" si="26"/>
        <v>103417.77499999999</v>
      </c>
      <c r="G23" s="63">
        <f t="shared" si="26"/>
        <v>107217.77499999999</v>
      </c>
      <c r="H23" s="63">
        <f t="shared" si="26"/>
        <v>111017.77499999999</v>
      </c>
      <c r="I23" s="63">
        <f t="shared" si="26"/>
        <v>114817.77499999999</v>
      </c>
    </row>
    <row r="24" spans="1:15" x14ac:dyDescent="0.45">
      <c r="A24" s="82"/>
      <c r="B24" s="62" t="s">
        <v>48</v>
      </c>
      <c r="C24" s="63">
        <f>(C20-C21)-C22</f>
        <v>49167.25</v>
      </c>
      <c r="D24" s="63">
        <f t="shared" ref="D24:I24" si="27">(D20-D21)-D22</f>
        <v>51167.25</v>
      </c>
      <c r="E24" s="63">
        <f t="shared" si="27"/>
        <v>53167.25</v>
      </c>
      <c r="F24" s="63">
        <f t="shared" si="27"/>
        <v>55167.25</v>
      </c>
      <c r="G24" s="63">
        <f t="shared" si="27"/>
        <v>57167.25</v>
      </c>
      <c r="H24" s="63">
        <f t="shared" si="27"/>
        <v>59167.25</v>
      </c>
      <c r="I24" s="63">
        <f t="shared" si="27"/>
        <v>61167.25</v>
      </c>
    </row>
    <row r="25" spans="1:15" x14ac:dyDescent="0.45">
      <c r="A25" s="83" t="s">
        <v>13</v>
      </c>
      <c r="B25" s="83"/>
      <c r="C25" s="63">
        <f>SUM(C8,C13,C18,C23)</f>
        <v>329963.27500000002</v>
      </c>
      <c r="D25" s="63">
        <f t="shared" ref="D25:I25" si="28">SUM(D8,D13,D18,D23)</f>
        <v>345163.27500000002</v>
      </c>
      <c r="E25" s="63">
        <f t="shared" si="28"/>
        <v>360363.27500000002</v>
      </c>
      <c r="F25" s="63">
        <f t="shared" si="28"/>
        <v>375563.27500000002</v>
      </c>
      <c r="G25" s="63">
        <f t="shared" si="28"/>
        <v>390763.27500000002</v>
      </c>
      <c r="H25" s="63">
        <f t="shared" si="28"/>
        <v>405963.27500000002</v>
      </c>
      <c r="I25" s="63">
        <f t="shared" si="28"/>
        <v>421163.27500000002</v>
      </c>
    </row>
    <row r="26" spans="1:15" x14ac:dyDescent="0.45">
      <c r="A26" s="70"/>
      <c r="B26" s="76" t="s">
        <v>14</v>
      </c>
      <c r="C26" s="76"/>
      <c r="D26" s="76"/>
      <c r="E26" s="76"/>
      <c r="F26" s="76"/>
      <c r="G26" s="76"/>
      <c r="H26" s="76"/>
      <c r="I26" s="76"/>
    </row>
    <row r="27" spans="1:15" ht="28" customHeight="1" x14ac:dyDescent="0.45">
      <c r="A27" s="81" t="s">
        <v>38</v>
      </c>
      <c r="B27" s="15" t="s">
        <v>15</v>
      </c>
      <c r="C27" s="2">
        <f>C5*0.75</f>
        <v>51825</v>
      </c>
      <c r="D27" s="2">
        <f t="shared" ref="D27:I27" si="29">C27</f>
        <v>51825</v>
      </c>
      <c r="E27" s="2">
        <f t="shared" si="29"/>
        <v>51825</v>
      </c>
      <c r="F27" s="2">
        <f t="shared" si="29"/>
        <v>51825</v>
      </c>
      <c r="G27" s="2">
        <f t="shared" si="29"/>
        <v>51825</v>
      </c>
      <c r="H27" s="2">
        <f t="shared" si="29"/>
        <v>51825</v>
      </c>
      <c r="I27" s="2">
        <f t="shared" si="29"/>
        <v>51825</v>
      </c>
    </row>
    <row r="28" spans="1:15" x14ac:dyDescent="0.45">
      <c r="A28" s="82"/>
      <c r="B28" s="15" t="s">
        <v>11</v>
      </c>
      <c r="C28" s="2">
        <v>15000</v>
      </c>
      <c r="D28" s="2">
        <v>13000</v>
      </c>
      <c r="E28" s="2">
        <v>11000</v>
      </c>
      <c r="F28" s="2">
        <v>9000</v>
      </c>
      <c r="G28" s="2">
        <v>7000</v>
      </c>
      <c r="H28" s="2">
        <v>5000</v>
      </c>
      <c r="I28" s="2">
        <v>3000</v>
      </c>
    </row>
    <row r="29" spans="1:15" x14ac:dyDescent="0.45">
      <c r="A29" s="82"/>
      <c r="B29" s="58" t="s">
        <v>47</v>
      </c>
      <c r="C29" s="59">
        <f>((C27-C28)*0.95)*2</f>
        <v>69967.5</v>
      </c>
      <c r="D29" s="59">
        <f t="shared" ref="D29:I29" si="30">((D27-D28)*0.95)*2</f>
        <v>73767.5</v>
      </c>
      <c r="E29" s="59">
        <f t="shared" si="30"/>
        <v>77567.5</v>
      </c>
      <c r="F29" s="59">
        <f t="shared" si="30"/>
        <v>81367.5</v>
      </c>
      <c r="G29" s="59">
        <f t="shared" si="30"/>
        <v>85167.5</v>
      </c>
      <c r="H29" s="59">
        <f t="shared" si="30"/>
        <v>88967.5</v>
      </c>
      <c r="I29" s="59">
        <f t="shared" si="30"/>
        <v>92767.5</v>
      </c>
    </row>
    <row r="30" spans="1:15" x14ac:dyDescent="0.45">
      <c r="A30" s="82"/>
      <c r="B30" s="33" t="s">
        <v>48</v>
      </c>
      <c r="C30" s="59">
        <f>(C27-C28)</f>
        <v>36825</v>
      </c>
      <c r="D30" s="59">
        <f t="shared" ref="D30:I30" si="31">(D27-D28)</f>
        <v>38825</v>
      </c>
      <c r="E30" s="59">
        <f t="shared" si="31"/>
        <v>40825</v>
      </c>
      <c r="F30" s="59">
        <f t="shared" si="31"/>
        <v>42825</v>
      </c>
      <c r="G30" s="59">
        <f t="shared" si="31"/>
        <v>44825</v>
      </c>
      <c r="H30" s="59">
        <f t="shared" si="31"/>
        <v>46825</v>
      </c>
      <c r="I30" s="59">
        <f t="shared" si="31"/>
        <v>48825</v>
      </c>
      <c r="J30" s="19"/>
      <c r="K30" s="19"/>
      <c r="L30" s="19"/>
      <c r="M30" s="19"/>
      <c r="N30" s="19"/>
      <c r="O30" s="19"/>
    </row>
    <row r="31" spans="1:15" ht="24" customHeight="1" x14ac:dyDescent="0.45">
      <c r="A31" s="81" t="s">
        <v>39</v>
      </c>
      <c r="B31" s="15" t="s">
        <v>15</v>
      </c>
      <c r="C31" s="2">
        <f>C10*0.75</f>
        <v>53175</v>
      </c>
      <c r="D31" s="2">
        <f t="shared" ref="D31:I31" si="32">C31</f>
        <v>53175</v>
      </c>
      <c r="E31" s="2">
        <f t="shared" si="32"/>
        <v>53175</v>
      </c>
      <c r="F31" s="2">
        <f t="shared" si="32"/>
        <v>53175</v>
      </c>
      <c r="G31" s="2">
        <f t="shared" si="32"/>
        <v>53175</v>
      </c>
      <c r="H31" s="2">
        <f t="shared" si="32"/>
        <v>53175</v>
      </c>
      <c r="I31" s="2">
        <f t="shared" si="32"/>
        <v>53175</v>
      </c>
    </row>
    <row r="32" spans="1:15" x14ac:dyDescent="0.45">
      <c r="A32" s="82"/>
      <c r="B32" s="15" t="s">
        <v>11</v>
      </c>
      <c r="C32" s="2">
        <f t="shared" ref="C32:I32" si="33">C28</f>
        <v>15000</v>
      </c>
      <c r="D32" s="2">
        <f t="shared" si="33"/>
        <v>13000</v>
      </c>
      <c r="E32" s="2">
        <f t="shared" si="33"/>
        <v>11000</v>
      </c>
      <c r="F32" s="2">
        <f t="shared" si="33"/>
        <v>9000</v>
      </c>
      <c r="G32" s="2">
        <f t="shared" si="33"/>
        <v>7000</v>
      </c>
      <c r="H32" s="2">
        <f t="shared" si="33"/>
        <v>5000</v>
      </c>
      <c r="I32" s="2">
        <f t="shared" si="33"/>
        <v>3000</v>
      </c>
      <c r="J32" s="19"/>
      <c r="K32" s="19"/>
      <c r="L32" s="19"/>
      <c r="M32" s="19"/>
      <c r="N32" s="19"/>
      <c r="O32" s="19"/>
    </row>
    <row r="33" spans="1:9" x14ac:dyDescent="0.45">
      <c r="A33" s="82"/>
      <c r="B33" s="60" t="s">
        <v>47</v>
      </c>
      <c r="C33" s="61">
        <f>((C31-C32)*0.95)*2</f>
        <v>72532.5</v>
      </c>
      <c r="D33" s="61">
        <f t="shared" ref="D33:I33" si="34">((D31-D32)*0.95)*2</f>
        <v>76332.5</v>
      </c>
      <c r="E33" s="61">
        <f t="shared" si="34"/>
        <v>80132.5</v>
      </c>
      <c r="F33" s="61">
        <f t="shared" si="34"/>
        <v>83932.5</v>
      </c>
      <c r="G33" s="61">
        <f t="shared" si="34"/>
        <v>87732.5</v>
      </c>
      <c r="H33" s="61">
        <f t="shared" si="34"/>
        <v>91532.5</v>
      </c>
      <c r="I33" s="61">
        <f t="shared" si="34"/>
        <v>95332.5</v>
      </c>
    </row>
    <row r="34" spans="1:9" x14ac:dyDescent="0.45">
      <c r="A34" s="82"/>
      <c r="B34" s="31" t="s">
        <v>48</v>
      </c>
      <c r="C34" s="61">
        <f>(C31-C32)</f>
        <v>38175</v>
      </c>
      <c r="D34" s="61">
        <f t="shared" ref="D34:I34" si="35">(D31-D32)</f>
        <v>40175</v>
      </c>
      <c r="E34" s="61">
        <f t="shared" si="35"/>
        <v>42175</v>
      </c>
      <c r="F34" s="61">
        <f t="shared" si="35"/>
        <v>44175</v>
      </c>
      <c r="G34" s="61">
        <f t="shared" si="35"/>
        <v>46175</v>
      </c>
      <c r="H34" s="61">
        <f t="shared" si="35"/>
        <v>48175</v>
      </c>
      <c r="I34" s="61">
        <f t="shared" si="35"/>
        <v>50175</v>
      </c>
    </row>
    <row r="35" spans="1:9" x14ac:dyDescent="0.45">
      <c r="A35" s="81" t="s">
        <v>40</v>
      </c>
      <c r="B35" s="15" t="s">
        <v>15</v>
      </c>
      <c r="C35" s="2">
        <f>C31*1.05</f>
        <v>55833.75</v>
      </c>
      <c r="D35" s="2">
        <f t="shared" ref="D35:I35" si="36">C35</f>
        <v>55833.75</v>
      </c>
      <c r="E35" s="2">
        <f t="shared" si="36"/>
        <v>55833.75</v>
      </c>
      <c r="F35" s="2">
        <f t="shared" si="36"/>
        <v>55833.75</v>
      </c>
      <c r="G35" s="2">
        <f t="shared" si="36"/>
        <v>55833.75</v>
      </c>
      <c r="H35" s="2">
        <f t="shared" si="36"/>
        <v>55833.75</v>
      </c>
      <c r="I35" s="2">
        <f t="shared" si="36"/>
        <v>55833.75</v>
      </c>
    </row>
    <row r="36" spans="1:9" x14ac:dyDescent="0.45">
      <c r="A36" s="82"/>
      <c r="B36" s="15" t="s">
        <v>11</v>
      </c>
      <c r="C36" s="2">
        <f t="shared" ref="C36:I36" si="37">C32</f>
        <v>15000</v>
      </c>
      <c r="D36" s="2">
        <f t="shared" si="37"/>
        <v>13000</v>
      </c>
      <c r="E36" s="2">
        <f t="shared" si="37"/>
        <v>11000</v>
      </c>
      <c r="F36" s="2">
        <f t="shared" si="37"/>
        <v>9000</v>
      </c>
      <c r="G36" s="2">
        <f t="shared" si="37"/>
        <v>7000</v>
      </c>
      <c r="H36" s="2">
        <f t="shared" si="37"/>
        <v>5000</v>
      </c>
      <c r="I36" s="2">
        <f t="shared" si="37"/>
        <v>3000</v>
      </c>
    </row>
    <row r="37" spans="1:9" x14ac:dyDescent="0.45">
      <c r="A37" s="82"/>
      <c r="B37" s="62" t="s">
        <v>47</v>
      </c>
      <c r="C37" s="63">
        <f>((C35-C36)*0.95)*2</f>
        <v>77584.125</v>
      </c>
      <c r="D37" s="63">
        <f t="shared" ref="D37:I37" si="38">((D35-D36)*0.95)*2</f>
        <v>81384.125</v>
      </c>
      <c r="E37" s="63">
        <f t="shared" si="38"/>
        <v>85184.125</v>
      </c>
      <c r="F37" s="63">
        <f t="shared" si="38"/>
        <v>88984.125</v>
      </c>
      <c r="G37" s="63">
        <f t="shared" si="38"/>
        <v>92784.125</v>
      </c>
      <c r="H37" s="63">
        <f t="shared" si="38"/>
        <v>96584.125</v>
      </c>
      <c r="I37" s="63">
        <f t="shared" si="38"/>
        <v>100384.125</v>
      </c>
    </row>
    <row r="38" spans="1:9" x14ac:dyDescent="0.45">
      <c r="A38" s="82"/>
      <c r="B38" s="32" t="s">
        <v>48</v>
      </c>
      <c r="C38" s="63">
        <f>(C35-C36)</f>
        <v>40833.75</v>
      </c>
      <c r="D38" s="63">
        <f t="shared" ref="D38:I38" si="39">(D35-D36)</f>
        <v>42833.75</v>
      </c>
      <c r="E38" s="63">
        <f t="shared" si="39"/>
        <v>44833.75</v>
      </c>
      <c r="F38" s="63">
        <f t="shared" si="39"/>
        <v>46833.75</v>
      </c>
      <c r="G38" s="63">
        <f t="shared" si="39"/>
        <v>48833.75</v>
      </c>
      <c r="H38" s="63">
        <f t="shared" si="39"/>
        <v>50833.75</v>
      </c>
      <c r="I38" s="63">
        <f t="shared" si="39"/>
        <v>52833.75</v>
      </c>
    </row>
    <row r="39" spans="1:9" x14ac:dyDescent="0.45">
      <c r="A39" s="81" t="s">
        <v>41</v>
      </c>
      <c r="B39" s="15" t="s">
        <v>15</v>
      </c>
      <c r="C39" s="2">
        <f>C35*1.05</f>
        <v>58625.4375</v>
      </c>
      <c r="D39" s="2">
        <f t="shared" ref="D39" si="40">C39</f>
        <v>58625.4375</v>
      </c>
      <c r="E39" s="2">
        <f t="shared" ref="E39" si="41">D39</f>
        <v>58625.4375</v>
      </c>
      <c r="F39" s="2">
        <f t="shared" ref="F39" si="42">E39</f>
        <v>58625.4375</v>
      </c>
      <c r="G39" s="2">
        <f t="shared" ref="G39" si="43">F39</f>
        <v>58625.4375</v>
      </c>
      <c r="H39" s="2">
        <f t="shared" ref="H39" si="44">G39</f>
        <v>58625.4375</v>
      </c>
      <c r="I39" s="2">
        <f t="shared" ref="I39" si="45">H39</f>
        <v>58625.4375</v>
      </c>
    </row>
    <row r="40" spans="1:9" x14ac:dyDescent="0.45">
      <c r="A40" s="82"/>
      <c r="B40" s="15" t="s">
        <v>11</v>
      </c>
      <c r="C40" s="2">
        <f t="shared" ref="C40:I40" si="46">C36</f>
        <v>15000</v>
      </c>
      <c r="D40" s="2">
        <f t="shared" si="46"/>
        <v>13000</v>
      </c>
      <c r="E40" s="2">
        <f t="shared" si="46"/>
        <v>11000</v>
      </c>
      <c r="F40" s="2">
        <f t="shared" si="46"/>
        <v>9000</v>
      </c>
      <c r="G40" s="2">
        <f t="shared" si="46"/>
        <v>7000</v>
      </c>
      <c r="H40" s="2">
        <f t="shared" si="46"/>
        <v>5000</v>
      </c>
      <c r="I40" s="2">
        <f t="shared" si="46"/>
        <v>3000</v>
      </c>
    </row>
    <row r="41" spans="1:9" x14ac:dyDescent="0.45">
      <c r="A41" s="82"/>
      <c r="B41" s="62" t="s">
        <v>47</v>
      </c>
      <c r="C41" s="63">
        <f>((C39-C40)*0.95)*2</f>
        <v>82888.331250000003</v>
      </c>
      <c r="D41" s="63">
        <f t="shared" ref="D41:I41" si="47">((D39-D40)*0.95)*2</f>
        <v>86688.331250000003</v>
      </c>
      <c r="E41" s="63">
        <f t="shared" si="47"/>
        <v>90488.331250000003</v>
      </c>
      <c r="F41" s="63">
        <f t="shared" si="47"/>
        <v>94288.331249999988</v>
      </c>
      <c r="G41" s="63">
        <f t="shared" si="47"/>
        <v>98088.331249999988</v>
      </c>
      <c r="H41" s="63">
        <f t="shared" si="47"/>
        <v>101888.33124999999</v>
      </c>
      <c r="I41" s="63">
        <f t="shared" si="47"/>
        <v>105688.33124999999</v>
      </c>
    </row>
    <row r="42" spans="1:9" x14ac:dyDescent="0.45">
      <c r="A42" s="82"/>
      <c r="B42" s="32" t="s">
        <v>48</v>
      </c>
      <c r="C42" s="63">
        <f>(C39-C40)</f>
        <v>43625.4375</v>
      </c>
      <c r="D42" s="63">
        <f t="shared" ref="D42:I42" si="48">(D39-D40)</f>
        <v>45625.4375</v>
      </c>
      <c r="E42" s="63">
        <f t="shared" si="48"/>
        <v>47625.4375</v>
      </c>
      <c r="F42" s="63">
        <f t="shared" si="48"/>
        <v>49625.4375</v>
      </c>
      <c r="G42" s="63">
        <f t="shared" si="48"/>
        <v>51625.4375</v>
      </c>
      <c r="H42" s="63">
        <f t="shared" si="48"/>
        <v>53625.4375</v>
      </c>
      <c r="I42" s="63">
        <f t="shared" si="48"/>
        <v>55625.4375</v>
      </c>
    </row>
    <row r="43" spans="1:9" x14ac:dyDescent="0.45">
      <c r="A43" s="83" t="s">
        <v>13</v>
      </c>
      <c r="B43" s="83"/>
      <c r="C43" s="63">
        <f>SUM(C29,C33,C37,C41)</f>
        <v>302972.45624999999</v>
      </c>
      <c r="D43" s="63">
        <f t="shared" ref="D43:I43" si="49">SUM(D29,D33,D37,D41)</f>
        <v>318172.45624999999</v>
      </c>
      <c r="E43" s="63">
        <f t="shared" si="49"/>
        <v>333372.45624999999</v>
      </c>
      <c r="F43" s="63">
        <f t="shared" si="49"/>
        <v>348572.45624999999</v>
      </c>
      <c r="G43" s="63">
        <f t="shared" si="49"/>
        <v>363772.45624999999</v>
      </c>
      <c r="H43" s="63">
        <f t="shared" si="49"/>
        <v>378972.45624999999</v>
      </c>
      <c r="I43" s="63">
        <f t="shared" si="49"/>
        <v>394172.45624999999</v>
      </c>
    </row>
    <row r="44" spans="1:9" ht="16" customHeight="1" x14ac:dyDescent="0.45">
      <c r="A44" s="84" t="s">
        <v>16</v>
      </c>
      <c r="B44" s="84"/>
      <c r="C44" s="84"/>
      <c r="D44" s="84"/>
      <c r="E44" s="84"/>
      <c r="F44" s="84"/>
      <c r="G44" s="84"/>
      <c r="H44" s="84"/>
      <c r="I44" s="84"/>
    </row>
    <row r="45" spans="1:9" ht="4" customHeight="1" x14ac:dyDescent="0.45">
      <c r="A45" s="84"/>
      <c r="B45" s="84"/>
      <c r="C45" s="84"/>
      <c r="D45" s="84"/>
      <c r="E45" s="84"/>
      <c r="F45" s="84"/>
      <c r="G45" s="84"/>
      <c r="H45" s="84"/>
      <c r="I45" s="84"/>
    </row>
    <row r="46" spans="1:9" ht="2.15" customHeight="1" x14ac:dyDescent="0.45">
      <c r="A46" s="84"/>
      <c r="B46" s="84"/>
      <c r="C46" s="84"/>
      <c r="D46" s="84"/>
      <c r="E46" s="84"/>
      <c r="F46" s="84"/>
      <c r="G46" s="84"/>
      <c r="H46" s="84"/>
      <c r="I46" s="84"/>
    </row>
    <row r="47" spans="1:9" x14ac:dyDescent="0.45">
      <c r="A47" s="64" t="s">
        <v>17</v>
      </c>
      <c r="B47" s="64"/>
      <c r="C47" s="86" t="s">
        <v>18</v>
      </c>
      <c r="D47" s="86"/>
      <c r="E47" s="7">
        <v>5000</v>
      </c>
      <c r="F47" s="57"/>
      <c r="G47" s="65"/>
      <c r="H47" s="56"/>
      <c r="I47" s="56"/>
    </row>
    <row r="48" spans="1:9" x14ac:dyDescent="0.45">
      <c r="A48" s="64"/>
      <c r="B48" s="64"/>
      <c r="C48" s="86" t="s">
        <v>19</v>
      </c>
      <c r="D48" s="86"/>
      <c r="E48" s="7">
        <v>3000</v>
      </c>
      <c r="F48" s="57"/>
      <c r="G48" s="65"/>
      <c r="H48" s="56"/>
      <c r="I48" s="56"/>
    </row>
    <row r="49" spans="1:9" x14ac:dyDescent="0.45">
      <c r="A49" s="64"/>
      <c r="B49" s="64"/>
      <c r="C49" s="87" t="s">
        <v>20</v>
      </c>
      <c r="D49" s="87"/>
      <c r="E49" s="7">
        <v>3000</v>
      </c>
      <c r="F49" s="66"/>
      <c r="G49" s="67"/>
      <c r="H49" s="56"/>
      <c r="I49" s="56"/>
    </row>
    <row r="50" spans="1:9" ht="23.15" x14ac:dyDescent="0.45">
      <c r="A50" s="20" t="s">
        <v>21</v>
      </c>
      <c r="B50" s="20" t="s">
        <v>22</v>
      </c>
      <c r="C50" s="21" t="s">
        <v>23</v>
      </c>
      <c r="D50" s="21" t="s">
        <v>24</v>
      </c>
      <c r="E50" s="21" t="s">
        <v>25</v>
      </c>
      <c r="F50" s="21" t="s">
        <v>26</v>
      </c>
      <c r="G50" s="20" t="s">
        <v>27</v>
      </c>
      <c r="H50" s="20" t="s">
        <v>28</v>
      </c>
      <c r="I50" s="20" t="s">
        <v>29</v>
      </c>
    </row>
    <row r="51" spans="1:9" x14ac:dyDescent="0.45">
      <c r="A51" s="16" t="s">
        <v>30</v>
      </c>
      <c r="B51" s="7">
        <f>B52*2</f>
        <v>7000</v>
      </c>
      <c r="C51" s="7">
        <f t="shared" ref="C51:H51" si="50">C52*2</f>
        <v>5000</v>
      </c>
      <c r="D51" s="7">
        <v>1000</v>
      </c>
      <c r="E51" s="7">
        <f t="shared" si="50"/>
        <v>1500</v>
      </c>
      <c r="F51" s="7">
        <f t="shared" si="50"/>
        <v>1000</v>
      </c>
      <c r="G51" s="7">
        <f t="shared" si="50"/>
        <v>1000</v>
      </c>
      <c r="H51" s="7">
        <f t="shared" si="50"/>
        <v>2000</v>
      </c>
      <c r="I51" s="7">
        <f>SUM(B51:H51)</f>
        <v>18500</v>
      </c>
    </row>
    <row r="52" spans="1:9" x14ac:dyDescent="0.45">
      <c r="A52" s="16" t="s">
        <v>31</v>
      </c>
      <c r="B52" s="7">
        <v>3500</v>
      </c>
      <c r="C52" s="7">
        <v>2500</v>
      </c>
      <c r="D52" s="22">
        <v>1000</v>
      </c>
      <c r="E52" s="22">
        <v>750</v>
      </c>
      <c r="F52" s="22">
        <v>500</v>
      </c>
      <c r="G52" s="7">
        <v>500</v>
      </c>
      <c r="H52" s="7">
        <v>1000</v>
      </c>
      <c r="I52" s="7">
        <f>SUM(B52:H52)</f>
        <v>9750</v>
      </c>
    </row>
    <row r="53" spans="1:9" ht="16" customHeight="1" x14ac:dyDescent="0.45">
      <c r="A53" s="73" t="s">
        <v>45</v>
      </c>
      <c r="B53" s="74"/>
      <c r="C53" s="74"/>
      <c r="D53" s="74"/>
      <c r="E53" s="74"/>
      <c r="F53" s="74"/>
      <c r="G53" s="74"/>
      <c r="H53" s="74"/>
      <c r="I53" s="74"/>
    </row>
    <row r="54" spans="1:9" ht="24" customHeight="1" x14ac:dyDescent="0.45">
      <c r="A54" s="73" t="s">
        <v>46</v>
      </c>
      <c r="B54" s="74"/>
      <c r="C54" s="74"/>
      <c r="D54" s="74"/>
      <c r="E54" s="74"/>
      <c r="F54" s="74"/>
      <c r="G54" s="74"/>
      <c r="H54" s="74"/>
      <c r="I54" s="74"/>
    </row>
    <row r="55" spans="1:9" ht="41.15" customHeight="1" x14ac:dyDescent="0.45">
      <c r="A55" s="73" t="s">
        <v>43</v>
      </c>
      <c r="B55" s="74"/>
      <c r="C55" s="74"/>
      <c r="D55" s="74"/>
      <c r="E55" s="74"/>
      <c r="F55" s="74"/>
      <c r="G55" s="74"/>
      <c r="H55" s="74"/>
      <c r="I55" s="74"/>
    </row>
    <row r="56" spans="1:9" x14ac:dyDescent="0.45">
      <c r="A56" s="73" t="s">
        <v>32</v>
      </c>
      <c r="B56" s="74"/>
      <c r="C56" s="74"/>
      <c r="D56" s="74"/>
      <c r="E56" s="74"/>
      <c r="F56" s="74"/>
      <c r="G56" s="74"/>
      <c r="H56" s="74"/>
      <c r="I56" s="74"/>
    </row>
    <row r="57" spans="1:9" x14ac:dyDescent="0.45">
      <c r="A57" s="73" t="s">
        <v>82</v>
      </c>
      <c r="B57" s="74"/>
      <c r="C57" s="74"/>
      <c r="D57" s="74"/>
      <c r="E57" s="74"/>
      <c r="F57" s="74"/>
      <c r="G57" s="74"/>
      <c r="H57" s="74"/>
      <c r="I57" s="74"/>
    </row>
    <row r="58" spans="1:9" x14ac:dyDescent="0.45">
      <c r="A58" s="73" t="s">
        <v>9</v>
      </c>
      <c r="B58" s="74"/>
      <c r="C58" s="74"/>
      <c r="D58" s="74"/>
      <c r="E58" s="74"/>
      <c r="F58" s="74"/>
      <c r="G58" s="74"/>
      <c r="H58" s="74"/>
      <c r="I58" s="74"/>
    </row>
  </sheetData>
  <mergeCells count="24">
    <mergeCell ref="A1:I1"/>
    <mergeCell ref="A2:I2"/>
    <mergeCell ref="C47:D47"/>
    <mergeCell ref="A5:A9"/>
    <mergeCell ref="A10:A14"/>
    <mergeCell ref="A15:A19"/>
    <mergeCell ref="A25:B25"/>
    <mergeCell ref="A4:I4"/>
    <mergeCell ref="B26:I26"/>
    <mergeCell ref="A20:A24"/>
    <mergeCell ref="A39:A42"/>
    <mergeCell ref="C48:D48"/>
    <mergeCell ref="C49:D49"/>
    <mergeCell ref="A27:A30"/>
    <mergeCell ref="A31:A34"/>
    <mergeCell ref="A35:A38"/>
    <mergeCell ref="A43:B43"/>
    <mergeCell ref="A44:I46"/>
    <mergeCell ref="A58:I58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50"/>
  <sheetViews>
    <sheetView zoomScale="88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 x14ac:dyDescent="0.45">
      <c r="A1" s="71" t="s">
        <v>95</v>
      </c>
      <c r="B1" s="71"/>
      <c r="C1" s="71"/>
      <c r="D1" s="71"/>
      <c r="E1" s="71"/>
      <c r="F1" s="71"/>
      <c r="G1" s="71"/>
      <c r="H1" s="71"/>
      <c r="I1" s="71"/>
    </row>
    <row r="2" spans="1:15" ht="46.5" customHeight="1" x14ac:dyDescent="0.45">
      <c r="A2" s="72" t="s">
        <v>97</v>
      </c>
      <c r="B2" s="71"/>
      <c r="C2" s="71"/>
      <c r="D2" s="71"/>
      <c r="E2" s="71"/>
      <c r="F2" s="71"/>
      <c r="G2" s="71"/>
      <c r="H2" s="71"/>
      <c r="I2" s="71"/>
    </row>
    <row r="3" spans="1:15" ht="85.5" customHeight="1" x14ac:dyDescent="0.45">
      <c r="A3" s="43" t="s">
        <v>1</v>
      </c>
      <c r="B3" s="44" t="s">
        <v>2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15" x14ac:dyDescent="0.45">
      <c r="A4" s="78" t="s">
        <v>0</v>
      </c>
      <c r="B4" s="79"/>
      <c r="C4" s="79"/>
      <c r="D4" s="79"/>
      <c r="E4" s="79"/>
      <c r="F4" s="79"/>
      <c r="G4" s="79"/>
      <c r="H4" s="79"/>
      <c r="I4" s="79"/>
    </row>
    <row r="5" spans="1:15" x14ac:dyDescent="0.45">
      <c r="A5" s="81" t="s">
        <v>38</v>
      </c>
      <c r="B5" s="27" t="s">
        <v>10</v>
      </c>
      <c r="C5" s="2">
        <v>69100</v>
      </c>
      <c r="D5" s="2">
        <f>C5</f>
        <v>69100</v>
      </c>
      <c r="E5" s="2">
        <f t="shared" ref="E5:I5" si="0">D5</f>
        <v>69100</v>
      </c>
      <c r="F5" s="2">
        <f t="shared" si="0"/>
        <v>69100</v>
      </c>
      <c r="G5" s="2">
        <f t="shared" si="0"/>
        <v>69100</v>
      </c>
      <c r="H5" s="2">
        <f t="shared" si="0"/>
        <v>69100</v>
      </c>
      <c r="I5" s="2">
        <f t="shared" si="0"/>
        <v>69100</v>
      </c>
    </row>
    <row r="6" spans="1:15" x14ac:dyDescent="0.45">
      <c r="A6" s="82"/>
      <c r="B6" s="27" t="s">
        <v>11</v>
      </c>
      <c r="C6" s="2">
        <v>15000</v>
      </c>
      <c r="D6" s="2">
        <v>13000</v>
      </c>
      <c r="E6" s="2">
        <v>11000</v>
      </c>
      <c r="F6" s="2">
        <v>9000</v>
      </c>
      <c r="G6" s="2">
        <v>7000</v>
      </c>
      <c r="H6" s="2">
        <v>5000</v>
      </c>
      <c r="I6" s="2">
        <v>3000</v>
      </c>
    </row>
    <row r="7" spans="1:15" x14ac:dyDescent="0.45">
      <c r="A7" s="82"/>
      <c r="B7" s="58" t="s">
        <v>44</v>
      </c>
      <c r="C7" s="59">
        <v>14000</v>
      </c>
      <c r="D7" s="59">
        <f>C7</f>
        <v>14000</v>
      </c>
      <c r="E7" s="59">
        <f t="shared" ref="E7:I7" si="1">D7</f>
        <v>14000</v>
      </c>
      <c r="F7" s="59">
        <f t="shared" si="1"/>
        <v>14000</v>
      </c>
      <c r="G7" s="59">
        <f t="shared" si="1"/>
        <v>14000</v>
      </c>
      <c r="H7" s="59">
        <f t="shared" si="1"/>
        <v>14000</v>
      </c>
      <c r="I7" s="59">
        <f t="shared" si="1"/>
        <v>14000</v>
      </c>
    </row>
    <row r="8" spans="1:15" x14ac:dyDescent="0.45">
      <c r="A8" s="82"/>
      <c r="B8" s="58" t="s">
        <v>47</v>
      </c>
      <c r="C8" s="59">
        <f>(((C5-C6)*0.95)*2)-C7*2</f>
        <v>74790</v>
      </c>
      <c r="D8" s="59">
        <f t="shared" ref="D8:I8" si="2">(((D5-D6)*0.95)*2)-D7*2</f>
        <v>78590</v>
      </c>
      <c r="E8" s="59">
        <f t="shared" si="2"/>
        <v>82390</v>
      </c>
      <c r="F8" s="59">
        <f t="shared" si="2"/>
        <v>86190</v>
      </c>
      <c r="G8" s="59">
        <f t="shared" si="2"/>
        <v>89990</v>
      </c>
      <c r="H8" s="59">
        <f t="shared" si="2"/>
        <v>93790</v>
      </c>
      <c r="I8" s="59">
        <f t="shared" si="2"/>
        <v>97590</v>
      </c>
    </row>
    <row r="9" spans="1:15" x14ac:dyDescent="0.45">
      <c r="A9" s="82"/>
      <c r="B9" s="58" t="s">
        <v>48</v>
      </c>
      <c r="C9" s="59">
        <f>(C5-C6)-C7</f>
        <v>40100</v>
      </c>
      <c r="D9" s="59">
        <f t="shared" ref="D9:I9" si="3">(D5-D6)-D7</f>
        <v>42100</v>
      </c>
      <c r="E9" s="59">
        <f t="shared" si="3"/>
        <v>44100</v>
      </c>
      <c r="F9" s="59">
        <f t="shared" si="3"/>
        <v>46100</v>
      </c>
      <c r="G9" s="59">
        <f t="shared" si="3"/>
        <v>48100</v>
      </c>
      <c r="H9" s="59">
        <f t="shared" si="3"/>
        <v>50100</v>
      </c>
      <c r="I9" s="59">
        <f t="shared" si="3"/>
        <v>52100</v>
      </c>
      <c r="J9" s="19"/>
      <c r="K9" s="19"/>
      <c r="L9" s="19"/>
      <c r="M9" s="19"/>
      <c r="N9" s="19"/>
      <c r="O9" s="19"/>
    </row>
    <row r="10" spans="1:15" ht="16" customHeight="1" x14ac:dyDescent="0.45">
      <c r="A10" s="81" t="s">
        <v>39</v>
      </c>
      <c r="B10" s="27" t="s">
        <v>12</v>
      </c>
      <c r="C10" s="2">
        <v>70900</v>
      </c>
      <c r="D10" s="2">
        <f t="shared" ref="D10:I10" si="4">C10</f>
        <v>70900</v>
      </c>
      <c r="E10" s="2">
        <f t="shared" si="4"/>
        <v>70900</v>
      </c>
      <c r="F10" s="2">
        <f t="shared" si="4"/>
        <v>70900</v>
      </c>
      <c r="G10" s="2">
        <f t="shared" si="4"/>
        <v>70900</v>
      </c>
      <c r="H10" s="2">
        <f t="shared" si="4"/>
        <v>70900</v>
      </c>
      <c r="I10" s="2">
        <f t="shared" si="4"/>
        <v>70900</v>
      </c>
    </row>
    <row r="11" spans="1:15" x14ac:dyDescent="0.45">
      <c r="A11" s="82"/>
      <c r="B11" s="27" t="s">
        <v>11</v>
      </c>
      <c r="C11" s="2">
        <f t="shared" ref="C11:I11" si="5">C6</f>
        <v>15000</v>
      </c>
      <c r="D11" s="2">
        <f t="shared" si="5"/>
        <v>13000</v>
      </c>
      <c r="E11" s="2">
        <f t="shared" si="5"/>
        <v>11000</v>
      </c>
      <c r="F11" s="2">
        <f t="shared" si="5"/>
        <v>9000</v>
      </c>
      <c r="G11" s="2">
        <f t="shared" si="5"/>
        <v>7000</v>
      </c>
      <c r="H11" s="2">
        <f t="shared" si="5"/>
        <v>5000</v>
      </c>
      <c r="I11" s="2">
        <f t="shared" si="5"/>
        <v>3000</v>
      </c>
    </row>
    <row r="12" spans="1:15" x14ac:dyDescent="0.45">
      <c r="A12" s="82"/>
      <c r="B12" s="60" t="s">
        <v>44</v>
      </c>
      <c r="C12" s="61">
        <f>C7</f>
        <v>14000</v>
      </c>
      <c r="D12" s="61">
        <f>C12</f>
        <v>14000</v>
      </c>
      <c r="E12" s="61">
        <f t="shared" ref="E12:I12" si="6">D12</f>
        <v>14000</v>
      </c>
      <c r="F12" s="61">
        <f t="shared" si="6"/>
        <v>14000</v>
      </c>
      <c r="G12" s="61">
        <f t="shared" si="6"/>
        <v>14000</v>
      </c>
      <c r="H12" s="61">
        <f t="shared" si="6"/>
        <v>14000</v>
      </c>
      <c r="I12" s="61">
        <f t="shared" si="6"/>
        <v>14000</v>
      </c>
    </row>
    <row r="13" spans="1:15" x14ac:dyDescent="0.45">
      <c r="A13" s="82"/>
      <c r="B13" s="60" t="s">
        <v>47</v>
      </c>
      <c r="C13" s="61">
        <f>(((C10-C11)*0.95)*2)-C12*2</f>
        <v>78210</v>
      </c>
      <c r="D13" s="61">
        <f t="shared" ref="D13:I13" si="7">(((D10-D11)*0.95)*2)-D12*2</f>
        <v>82010</v>
      </c>
      <c r="E13" s="61">
        <f t="shared" si="7"/>
        <v>85810</v>
      </c>
      <c r="F13" s="61">
        <f t="shared" si="7"/>
        <v>89610</v>
      </c>
      <c r="G13" s="61">
        <f t="shared" si="7"/>
        <v>93410</v>
      </c>
      <c r="H13" s="61">
        <f t="shared" si="7"/>
        <v>97210</v>
      </c>
      <c r="I13" s="61">
        <f t="shared" si="7"/>
        <v>101010</v>
      </c>
    </row>
    <row r="14" spans="1:15" x14ac:dyDescent="0.45">
      <c r="A14" s="82"/>
      <c r="B14" s="60" t="s">
        <v>48</v>
      </c>
      <c r="C14" s="61">
        <f>(C10-C11)-C12</f>
        <v>41900</v>
      </c>
      <c r="D14" s="61">
        <f t="shared" ref="D14:I14" si="8">(D10-D11)-D12</f>
        <v>43900</v>
      </c>
      <c r="E14" s="61">
        <f t="shared" si="8"/>
        <v>45900</v>
      </c>
      <c r="F14" s="61">
        <f t="shared" si="8"/>
        <v>47900</v>
      </c>
      <c r="G14" s="61">
        <f t="shared" si="8"/>
        <v>49900</v>
      </c>
      <c r="H14" s="61">
        <f t="shared" si="8"/>
        <v>51900</v>
      </c>
      <c r="I14" s="61">
        <f t="shared" si="8"/>
        <v>53900</v>
      </c>
    </row>
    <row r="15" spans="1:15" x14ac:dyDescent="0.45">
      <c r="A15" s="81" t="s">
        <v>40</v>
      </c>
      <c r="B15" s="27" t="s">
        <v>12</v>
      </c>
      <c r="C15" s="2">
        <f>C10*1.05</f>
        <v>74445</v>
      </c>
      <c r="D15" s="2">
        <f t="shared" ref="D15:I15" si="9">C15</f>
        <v>74445</v>
      </c>
      <c r="E15" s="2">
        <f t="shared" si="9"/>
        <v>74445</v>
      </c>
      <c r="F15" s="2">
        <f t="shared" si="9"/>
        <v>74445</v>
      </c>
      <c r="G15" s="2">
        <f t="shared" si="9"/>
        <v>74445</v>
      </c>
      <c r="H15" s="2">
        <f t="shared" si="9"/>
        <v>74445</v>
      </c>
      <c r="I15" s="2">
        <f t="shared" si="9"/>
        <v>74445</v>
      </c>
    </row>
    <row r="16" spans="1:15" x14ac:dyDescent="0.45">
      <c r="A16" s="82"/>
      <c r="B16" s="27" t="s">
        <v>11</v>
      </c>
      <c r="C16" s="2">
        <f t="shared" ref="C16:I16" si="10">C11</f>
        <v>15000</v>
      </c>
      <c r="D16" s="2">
        <f t="shared" si="10"/>
        <v>13000</v>
      </c>
      <c r="E16" s="2">
        <f t="shared" si="10"/>
        <v>11000</v>
      </c>
      <c r="F16" s="2">
        <f t="shared" si="10"/>
        <v>9000</v>
      </c>
      <c r="G16" s="2">
        <f t="shared" si="10"/>
        <v>7000</v>
      </c>
      <c r="H16" s="2">
        <f t="shared" si="10"/>
        <v>5000</v>
      </c>
      <c r="I16" s="2">
        <f t="shared" si="10"/>
        <v>3000</v>
      </c>
    </row>
    <row r="17" spans="1:15" x14ac:dyDescent="0.45">
      <c r="A17" s="82"/>
      <c r="B17" s="62" t="s">
        <v>44</v>
      </c>
      <c r="C17" s="63">
        <f>C12</f>
        <v>14000</v>
      </c>
      <c r="D17" s="63">
        <f>C17</f>
        <v>14000</v>
      </c>
      <c r="E17" s="63">
        <f t="shared" ref="E17:I17" si="11">D17</f>
        <v>14000</v>
      </c>
      <c r="F17" s="63">
        <f t="shared" si="11"/>
        <v>14000</v>
      </c>
      <c r="G17" s="63">
        <f t="shared" si="11"/>
        <v>14000</v>
      </c>
      <c r="H17" s="63">
        <f t="shared" si="11"/>
        <v>14000</v>
      </c>
      <c r="I17" s="63">
        <f t="shared" si="11"/>
        <v>14000</v>
      </c>
    </row>
    <row r="18" spans="1:15" x14ac:dyDescent="0.45">
      <c r="A18" s="82"/>
      <c r="B18" s="62" t="s">
        <v>47</v>
      </c>
      <c r="C18" s="63">
        <f>(((C15-C16)*0.95)*2)-C17*2</f>
        <v>84945.5</v>
      </c>
      <c r="D18" s="63">
        <f t="shared" ref="D18:I18" si="12">(((D15-D16)*0.95)*2)-D17*2</f>
        <v>88745.5</v>
      </c>
      <c r="E18" s="63">
        <f t="shared" si="12"/>
        <v>92545.5</v>
      </c>
      <c r="F18" s="63">
        <f t="shared" si="12"/>
        <v>96345.5</v>
      </c>
      <c r="G18" s="63">
        <f t="shared" si="12"/>
        <v>100145.5</v>
      </c>
      <c r="H18" s="63">
        <f t="shared" si="12"/>
        <v>103945.5</v>
      </c>
      <c r="I18" s="63">
        <f t="shared" si="12"/>
        <v>107745.5</v>
      </c>
    </row>
    <row r="19" spans="1:15" x14ac:dyDescent="0.45">
      <c r="A19" s="82"/>
      <c r="B19" s="62" t="s">
        <v>48</v>
      </c>
      <c r="C19" s="63">
        <f>(C15-C16)-C17</f>
        <v>45445</v>
      </c>
      <c r="D19" s="63">
        <f t="shared" ref="D19:I19" si="13">(D15-D16)-D17</f>
        <v>47445</v>
      </c>
      <c r="E19" s="63">
        <f t="shared" si="13"/>
        <v>49445</v>
      </c>
      <c r="F19" s="63">
        <f t="shared" si="13"/>
        <v>51445</v>
      </c>
      <c r="G19" s="63">
        <f t="shared" si="13"/>
        <v>53445</v>
      </c>
      <c r="H19" s="63">
        <f t="shared" si="13"/>
        <v>55445</v>
      </c>
      <c r="I19" s="63">
        <f t="shared" si="13"/>
        <v>57445</v>
      </c>
    </row>
    <row r="20" spans="1:15" x14ac:dyDescent="0.45">
      <c r="A20" s="83" t="s">
        <v>13</v>
      </c>
      <c r="B20" s="83"/>
      <c r="C20" s="63">
        <f t="shared" ref="C20:I20" si="14">SUM(C8,C13,C18)</f>
        <v>237945.5</v>
      </c>
      <c r="D20" s="63">
        <f t="shared" si="14"/>
        <v>249345.5</v>
      </c>
      <c r="E20" s="63">
        <f t="shared" si="14"/>
        <v>260745.5</v>
      </c>
      <c r="F20" s="63">
        <f t="shared" si="14"/>
        <v>272145.5</v>
      </c>
      <c r="G20" s="63">
        <f t="shared" si="14"/>
        <v>283545.5</v>
      </c>
      <c r="H20" s="63">
        <f t="shared" si="14"/>
        <v>294945.5</v>
      </c>
      <c r="I20" s="63">
        <f t="shared" si="14"/>
        <v>306345.5</v>
      </c>
    </row>
    <row r="21" spans="1:15" x14ac:dyDescent="0.45">
      <c r="A21" s="70"/>
      <c r="B21" s="97" t="s">
        <v>14</v>
      </c>
      <c r="C21" s="97"/>
      <c r="D21" s="97"/>
      <c r="E21" s="97"/>
      <c r="F21" s="97"/>
      <c r="G21" s="97"/>
      <c r="H21" s="97"/>
      <c r="I21" s="97"/>
    </row>
    <row r="22" spans="1:15" ht="28" customHeight="1" x14ac:dyDescent="0.45">
      <c r="A22" s="81" t="s">
        <v>38</v>
      </c>
      <c r="B22" s="15" t="s">
        <v>15</v>
      </c>
      <c r="C22" s="2">
        <f>C5*0.75</f>
        <v>51825</v>
      </c>
      <c r="D22" s="2">
        <f t="shared" ref="D22:I22" si="15">C22</f>
        <v>51825</v>
      </c>
      <c r="E22" s="2">
        <f t="shared" si="15"/>
        <v>51825</v>
      </c>
      <c r="F22" s="2">
        <f t="shared" si="15"/>
        <v>51825</v>
      </c>
      <c r="G22" s="2">
        <f t="shared" si="15"/>
        <v>51825</v>
      </c>
      <c r="H22" s="2">
        <f t="shared" si="15"/>
        <v>51825</v>
      </c>
      <c r="I22" s="2">
        <f t="shared" si="15"/>
        <v>51825</v>
      </c>
    </row>
    <row r="23" spans="1:15" x14ac:dyDescent="0.45">
      <c r="A23" s="82"/>
      <c r="B23" s="15" t="s">
        <v>11</v>
      </c>
      <c r="C23" s="2">
        <v>15000</v>
      </c>
      <c r="D23" s="2">
        <v>13000</v>
      </c>
      <c r="E23" s="2">
        <v>11000</v>
      </c>
      <c r="F23" s="2">
        <v>9000</v>
      </c>
      <c r="G23" s="2">
        <v>7000</v>
      </c>
      <c r="H23" s="2">
        <v>5000</v>
      </c>
      <c r="I23" s="2">
        <v>3000</v>
      </c>
    </row>
    <row r="24" spans="1:15" x14ac:dyDescent="0.45">
      <c r="A24" s="82"/>
      <c r="B24" s="58" t="s">
        <v>47</v>
      </c>
      <c r="C24" s="59">
        <f>((C22-C23)*0.95)*2</f>
        <v>69967.5</v>
      </c>
      <c r="D24" s="59">
        <f t="shared" ref="D24:I24" si="16">((D22-D23)*0.95)*2</f>
        <v>73767.5</v>
      </c>
      <c r="E24" s="59">
        <f t="shared" si="16"/>
        <v>77567.5</v>
      </c>
      <c r="F24" s="59">
        <f t="shared" si="16"/>
        <v>81367.5</v>
      </c>
      <c r="G24" s="59">
        <f t="shared" si="16"/>
        <v>85167.5</v>
      </c>
      <c r="H24" s="59">
        <f t="shared" si="16"/>
        <v>88967.5</v>
      </c>
      <c r="I24" s="59">
        <f t="shared" si="16"/>
        <v>92767.5</v>
      </c>
    </row>
    <row r="25" spans="1:15" x14ac:dyDescent="0.45">
      <c r="A25" s="82"/>
      <c r="B25" s="33" t="s">
        <v>48</v>
      </c>
      <c r="C25" s="59">
        <f>(C22-C23)</f>
        <v>36825</v>
      </c>
      <c r="D25" s="59">
        <f t="shared" ref="D25:I25" si="17">(D22-D23)</f>
        <v>38825</v>
      </c>
      <c r="E25" s="59">
        <f t="shared" si="17"/>
        <v>40825</v>
      </c>
      <c r="F25" s="59">
        <f t="shared" si="17"/>
        <v>42825</v>
      </c>
      <c r="G25" s="59">
        <f t="shared" si="17"/>
        <v>44825</v>
      </c>
      <c r="H25" s="59">
        <f t="shared" si="17"/>
        <v>46825</v>
      </c>
      <c r="I25" s="59">
        <f t="shared" si="17"/>
        <v>48825</v>
      </c>
      <c r="J25" s="19"/>
      <c r="K25" s="19"/>
      <c r="L25" s="19"/>
      <c r="M25" s="19"/>
      <c r="N25" s="19"/>
      <c r="O25" s="19"/>
    </row>
    <row r="26" spans="1:15" ht="24" customHeight="1" x14ac:dyDescent="0.45">
      <c r="A26" s="81" t="s">
        <v>39</v>
      </c>
      <c r="B26" s="15" t="s">
        <v>15</v>
      </c>
      <c r="C26" s="2">
        <f>C10*0.75</f>
        <v>53175</v>
      </c>
      <c r="D26" s="2">
        <f t="shared" ref="D26:I26" si="18">C26</f>
        <v>53175</v>
      </c>
      <c r="E26" s="2">
        <f t="shared" si="18"/>
        <v>53175</v>
      </c>
      <c r="F26" s="2">
        <f t="shared" si="18"/>
        <v>53175</v>
      </c>
      <c r="G26" s="2">
        <f t="shared" si="18"/>
        <v>53175</v>
      </c>
      <c r="H26" s="2">
        <f t="shared" si="18"/>
        <v>53175</v>
      </c>
      <c r="I26" s="2">
        <f t="shared" si="18"/>
        <v>53175</v>
      </c>
    </row>
    <row r="27" spans="1:15" x14ac:dyDescent="0.45">
      <c r="A27" s="82"/>
      <c r="B27" s="15" t="s">
        <v>11</v>
      </c>
      <c r="C27" s="2">
        <f t="shared" ref="C27:I27" si="19">C23</f>
        <v>15000</v>
      </c>
      <c r="D27" s="2">
        <f t="shared" si="19"/>
        <v>13000</v>
      </c>
      <c r="E27" s="2">
        <f t="shared" si="19"/>
        <v>11000</v>
      </c>
      <c r="F27" s="2">
        <f t="shared" si="19"/>
        <v>9000</v>
      </c>
      <c r="G27" s="2">
        <f t="shared" si="19"/>
        <v>7000</v>
      </c>
      <c r="H27" s="2">
        <f t="shared" si="19"/>
        <v>5000</v>
      </c>
      <c r="I27" s="2">
        <f t="shared" si="19"/>
        <v>3000</v>
      </c>
      <c r="J27" s="19"/>
      <c r="K27" s="19"/>
      <c r="L27" s="19"/>
      <c r="M27" s="19"/>
      <c r="N27" s="19"/>
      <c r="O27" s="19"/>
    </row>
    <row r="28" spans="1:15" x14ac:dyDescent="0.45">
      <c r="A28" s="82"/>
      <c r="B28" s="60" t="s">
        <v>47</v>
      </c>
      <c r="C28" s="61">
        <f>((C26-C27)*0.95)*2</f>
        <v>72532.5</v>
      </c>
      <c r="D28" s="61">
        <f t="shared" ref="D28:I28" si="20">((D26-D27)*0.95)*2</f>
        <v>76332.5</v>
      </c>
      <c r="E28" s="61">
        <f t="shared" si="20"/>
        <v>80132.5</v>
      </c>
      <c r="F28" s="61">
        <f t="shared" si="20"/>
        <v>83932.5</v>
      </c>
      <c r="G28" s="61">
        <f t="shared" si="20"/>
        <v>87732.5</v>
      </c>
      <c r="H28" s="61">
        <f t="shared" si="20"/>
        <v>91532.5</v>
      </c>
      <c r="I28" s="61">
        <f t="shared" si="20"/>
        <v>95332.5</v>
      </c>
    </row>
    <row r="29" spans="1:15" x14ac:dyDescent="0.45">
      <c r="A29" s="82"/>
      <c r="B29" s="31" t="s">
        <v>48</v>
      </c>
      <c r="C29" s="61">
        <f>(C26-C27)</f>
        <v>38175</v>
      </c>
      <c r="D29" s="61">
        <f t="shared" ref="D29:I29" si="21">(D26-D27)</f>
        <v>40175</v>
      </c>
      <c r="E29" s="61">
        <f t="shared" si="21"/>
        <v>42175</v>
      </c>
      <c r="F29" s="61">
        <f t="shared" si="21"/>
        <v>44175</v>
      </c>
      <c r="G29" s="61">
        <f t="shared" si="21"/>
        <v>46175</v>
      </c>
      <c r="H29" s="61">
        <f t="shared" si="21"/>
        <v>48175</v>
      </c>
      <c r="I29" s="61">
        <f t="shared" si="21"/>
        <v>50175</v>
      </c>
    </row>
    <row r="30" spans="1:15" x14ac:dyDescent="0.45">
      <c r="A30" s="81" t="s">
        <v>40</v>
      </c>
      <c r="B30" s="15" t="s">
        <v>15</v>
      </c>
      <c r="C30" s="2">
        <f>C26*1.05</f>
        <v>55833.75</v>
      </c>
      <c r="D30" s="2">
        <f t="shared" ref="D30:I30" si="22">C30</f>
        <v>55833.75</v>
      </c>
      <c r="E30" s="2">
        <f t="shared" si="22"/>
        <v>55833.75</v>
      </c>
      <c r="F30" s="2">
        <f t="shared" si="22"/>
        <v>55833.75</v>
      </c>
      <c r="G30" s="2">
        <f t="shared" si="22"/>
        <v>55833.75</v>
      </c>
      <c r="H30" s="2">
        <f t="shared" si="22"/>
        <v>55833.75</v>
      </c>
      <c r="I30" s="2">
        <f t="shared" si="22"/>
        <v>55833.75</v>
      </c>
    </row>
    <row r="31" spans="1:15" x14ac:dyDescent="0.45">
      <c r="A31" s="82"/>
      <c r="B31" s="15" t="s">
        <v>11</v>
      </c>
      <c r="C31" s="2">
        <f t="shared" ref="C31:I31" si="23">C27</f>
        <v>15000</v>
      </c>
      <c r="D31" s="2">
        <f t="shared" si="23"/>
        <v>13000</v>
      </c>
      <c r="E31" s="2">
        <f t="shared" si="23"/>
        <v>11000</v>
      </c>
      <c r="F31" s="2">
        <f t="shared" si="23"/>
        <v>9000</v>
      </c>
      <c r="G31" s="2">
        <f t="shared" si="23"/>
        <v>7000</v>
      </c>
      <c r="H31" s="2">
        <f t="shared" si="23"/>
        <v>5000</v>
      </c>
      <c r="I31" s="2">
        <f t="shared" si="23"/>
        <v>3000</v>
      </c>
    </row>
    <row r="32" spans="1:15" x14ac:dyDescent="0.45">
      <c r="A32" s="82"/>
      <c r="B32" s="62" t="s">
        <v>47</v>
      </c>
      <c r="C32" s="63">
        <f>((C30-C31)*0.95)*2</f>
        <v>77584.125</v>
      </c>
      <c r="D32" s="63">
        <f t="shared" ref="D32:I32" si="24">((D30-D31)*0.95)*2</f>
        <v>81384.125</v>
      </c>
      <c r="E32" s="63">
        <f t="shared" si="24"/>
        <v>85184.125</v>
      </c>
      <c r="F32" s="63">
        <f t="shared" si="24"/>
        <v>88984.125</v>
      </c>
      <c r="G32" s="63">
        <f t="shared" si="24"/>
        <v>92784.125</v>
      </c>
      <c r="H32" s="63">
        <f t="shared" si="24"/>
        <v>96584.125</v>
      </c>
      <c r="I32" s="63">
        <f t="shared" si="24"/>
        <v>100384.125</v>
      </c>
    </row>
    <row r="33" spans="1:9" x14ac:dyDescent="0.45">
      <c r="A33" s="82"/>
      <c r="B33" s="32" t="s">
        <v>48</v>
      </c>
      <c r="C33" s="63">
        <f>(C30-C31)</f>
        <v>40833.75</v>
      </c>
      <c r="D33" s="63">
        <f t="shared" ref="D33:I33" si="25">(D30-D31)</f>
        <v>42833.75</v>
      </c>
      <c r="E33" s="63">
        <f t="shared" si="25"/>
        <v>44833.75</v>
      </c>
      <c r="F33" s="63">
        <f t="shared" si="25"/>
        <v>46833.75</v>
      </c>
      <c r="G33" s="63">
        <f t="shared" si="25"/>
        <v>48833.75</v>
      </c>
      <c r="H33" s="63">
        <f t="shared" si="25"/>
        <v>50833.75</v>
      </c>
      <c r="I33" s="63">
        <f t="shared" si="25"/>
        <v>52833.75</v>
      </c>
    </row>
    <row r="34" spans="1:9" x14ac:dyDescent="0.45">
      <c r="A34" s="83" t="s">
        <v>13</v>
      </c>
      <c r="B34" s="83"/>
      <c r="C34" s="63">
        <f t="shared" ref="C34:I34" si="26">SUM(C24,C28,C32)</f>
        <v>220084.125</v>
      </c>
      <c r="D34" s="63">
        <f t="shared" si="26"/>
        <v>231484.125</v>
      </c>
      <c r="E34" s="63">
        <f t="shared" si="26"/>
        <v>242884.125</v>
      </c>
      <c r="F34" s="63">
        <f t="shared" si="26"/>
        <v>254284.125</v>
      </c>
      <c r="G34" s="63">
        <f t="shared" si="26"/>
        <v>265684.125</v>
      </c>
      <c r="H34" s="63">
        <f t="shared" si="26"/>
        <v>277084.125</v>
      </c>
      <c r="I34" s="63">
        <f t="shared" si="26"/>
        <v>288484.125</v>
      </c>
    </row>
    <row r="35" spans="1:9" ht="16" customHeight="1" x14ac:dyDescent="0.45">
      <c r="A35" s="84" t="s">
        <v>16</v>
      </c>
      <c r="B35" s="84"/>
      <c r="C35" s="84"/>
      <c r="D35" s="84"/>
      <c r="E35" s="84"/>
      <c r="F35" s="84"/>
      <c r="G35" s="84"/>
      <c r="H35" s="84"/>
      <c r="I35" s="84"/>
    </row>
    <row r="36" spans="1:9" ht="4" customHeight="1" x14ac:dyDescent="0.45">
      <c r="A36" s="84"/>
      <c r="B36" s="84"/>
      <c r="C36" s="84"/>
      <c r="D36" s="84"/>
      <c r="E36" s="84"/>
      <c r="F36" s="84"/>
      <c r="G36" s="84"/>
      <c r="H36" s="84"/>
      <c r="I36" s="84"/>
    </row>
    <row r="37" spans="1:9" ht="2.15" customHeight="1" x14ac:dyDescent="0.45">
      <c r="A37" s="84"/>
      <c r="B37" s="84"/>
      <c r="C37" s="84"/>
      <c r="D37" s="84"/>
      <c r="E37" s="84"/>
      <c r="F37" s="84"/>
      <c r="G37" s="84"/>
      <c r="H37" s="84"/>
      <c r="I37" s="84"/>
    </row>
    <row r="38" spans="1:9" x14ac:dyDescent="0.45">
      <c r="A38" s="64" t="s">
        <v>17</v>
      </c>
      <c r="B38" s="64"/>
      <c r="C38" s="86" t="s">
        <v>18</v>
      </c>
      <c r="D38" s="86"/>
      <c r="E38" s="7">
        <v>5000</v>
      </c>
      <c r="F38" s="57"/>
      <c r="G38" s="65"/>
      <c r="H38" s="56"/>
      <c r="I38" s="56"/>
    </row>
    <row r="39" spans="1:9" x14ac:dyDescent="0.45">
      <c r="A39" s="64"/>
      <c r="B39" s="64"/>
      <c r="C39" s="86" t="s">
        <v>19</v>
      </c>
      <c r="D39" s="86"/>
      <c r="E39" s="7">
        <v>3000</v>
      </c>
      <c r="F39" s="57"/>
      <c r="G39" s="65"/>
      <c r="H39" s="56"/>
      <c r="I39" s="56"/>
    </row>
    <row r="40" spans="1:9" x14ac:dyDescent="0.45">
      <c r="A40" s="64"/>
      <c r="B40" s="64"/>
      <c r="C40" s="87" t="s">
        <v>20</v>
      </c>
      <c r="D40" s="87"/>
      <c r="E40" s="7">
        <v>3000</v>
      </c>
      <c r="F40" s="66"/>
      <c r="G40" s="67"/>
      <c r="H40" s="56"/>
      <c r="I40" s="56"/>
    </row>
    <row r="41" spans="1:9" ht="23.15" x14ac:dyDescent="0.45">
      <c r="A41" s="20" t="s">
        <v>21</v>
      </c>
      <c r="B41" s="20" t="s">
        <v>22</v>
      </c>
      <c r="C41" s="21" t="s">
        <v>23</v>
      </c>
      <c r="D41" s="21" t="s">
        <v>24</v>
      </c>
      <c r="E41" s="21" t="s">
        <v>25</v>
      </c>
      <c r="F41" s="21" t="s">
        <v>26</v>
      </c>
      <c r="G41" s="20" t="s">
        <v>27</v>
      </c>
      <c r="H41" s="20" t="s">
        <v>28</v>
      </c>
      <c r="I41" s="20" t="s">
        <v>29</v>
      </c>
    </row>
    <row r="42" spans="1:9" x14ac:dyDescent="0.45">
      <c r="A42" s="16" t="s">
        <v>30</v>
      </c>
      <c r="B42" s="7">
        <f>B43*2</f>
        <v>7000</v>
      </c>
      <c r="C42" s="7">
        <f t="shared" ref="C42:H42" si="27">C43*2</f>
        <v>5000</v>
      </c>
      <c r="D42" s="7">
        <v>1000</v>
      </c>
      <c r="E42" s="7">
        <f t="shared" si="27"/>
        <v>1500</v>
      </c>
      <c r="F42" s="7">
        <f t="shared" si="27"/>
        <v>1000</v>
      </c>
      <c r="G42" s="7">
        <f t="shared" si="27"/>
        <v>1000</v>
      </c>
      <c r="H42" s="7">
        <f t="shared" si="27"/>
        <v>2000</v>
      </c>
      <c r="I42" s="7">
        <f>SUM(B42:H42)</f>
        <v>18500</v>
      </c>
    </row>
    <row r="43" spans="1:9" x14ac:dyDescent="0.45">
      <c r="A43" s="16" t="s">
        <v>31</v>
      </c>
      <c r="B43" s="7">
        <v>3500</v>
      </c>
      <c r="C43" s="7">
        <v>2500</v>
      </c>
      <c r="D43" s="22">
        <v>1000</v>
      </c>
      <c r="E43" s="22">
        <v>750</v>
      </c>
      <c r="F43" s="22">
        <v>500</v>
      </c>
      <c r="G43" s="7">
        <v>500</v>
      </c>
      <c r="H43" s="7">
        <v>1000</v>
      </c>
      <c r="I43" s="7">
        <f>SUM(B43:H43)</f>
        <v>9750</v>
      </c>
    </row>
    <row r="44" spans="1:9" ht="16" customHeight="1" x14ac:dyDescent="0.45">
      <c r="A44" s="91" t="s">
        <v>45</v>
      </c>
      <c r="B44" s="91"/>
      <c r="C44" s="91"/>
      <c r="D44" s="91"/>
      <c r="E44" s="91"/>
      <c r="F44" s="91"/>
      <c r="G44" s="91"/>
      <c r="H44" s="91"/>
      <c r="I44" s="91"/>
    </row>
    <row r="45" spans="1:9" ht="24" customHeight="1" x14ac:dyDescent="0.45">
      <c r="A45" s="91" t="s">
        <v>46</v>
      </c>
      <c r="B45" s="91"/>
      <c r="C45" s="91"/>
      <c r="D45" s="91"/>
      <c r="E45" s="91"/>
      <c r="F45" s="91"/>
      <c r="G45" s="91"/>
      <c r="H45" s="91"/>
      <c r="I45" s="91"/>
    </row>
    <row r="46" spans="1:9" ht="41.15" customHeight="1" x14ac:dyDescent="0.45">
      <c r="A46" s="92" t="s">
        <v>43</v>
      </c>
      <c r="B46" s="92"/>
      <c r="C46" s="92"/>
      <c r="D46" s="92"/>
      <c r="E46" s="92"/>
      <c r="F46" s="92"/>
      <c r="G46" s="92"/>
      <c r="H46" s="92"/>
      <c r="I46" s="92"/>
    </row>
    <row r="47" spans="1:9" x14ac:dyDescent="0.45">
      <c r="A47" s="91" t="s">
        <v>32</v>
      </c>
      <c r="B47" s="91"/>
      <c r="C47" s="91"/>
      <c r="D47" s="91"/>
      <c r="E47" s="91"/>
      <c r="F47" s="91"/>
      <c r="G47" s="91"/>
      <c r="H47" s="91"/>
      <c r="I47" s="91"/>
    </row>
    <row r="48" spans="1:9" x14ac:dyDescent="0.45">
      <c r="A48" s="96" t="s">
        <v>82</v>
      </c>
      <c r="B48" s="96"/>
      <c r="C48" s="96"/>
      <c r="D48" s="96"/>
      <c r="E48" s="96"/>
      <c r="F48" s="96"/>
      <c r="G48" s="96"/>
      <c r="H48" s="96"/>
      <c r="I48" s="96"/>
    </row>
    <row r="49" spans="1:9" x14ac:dyDescent="0.45">
      <c r="A49" s="73" t="s">
        <v>9</v>
      </c>
      <c r="B49" s="74"/>
      <c r="C49" s="74"/>
      <c r="D49" s="74"/>
      <c r="E49" s="74"/>
      <c r="F49" s="74"/>
      <c r="G49" s="74"/>
      <c r="H49" s="74"/>
      <c r="I49" s="88"/>
    </row>
    <row r="50" spans="1:9" x14ac:dyDescent="0.45">
      <c r="A50" s="56"/>
      <c r="B50" s="56"/>
      <c r="C50" s="56"/>
      <c r="D50" s="56"/>
      <c r="E50" s="56"/>
      <c r="F50" s="56"/>
      <c r="G50" s="56"/>
      <c r="H50" s="56"/>
      <c r="I50" s="56"/>
    </row>
  </sheetData>
  <mergeCells count="22">
    <mergeCell ref="A45:I45"/>
    <mergeCell ref="A35:I37"/>
    <mergeCell ref="C38:D38"/>
    <mergeCell ref="C39:D39"/>
    <mergeCell ref="C40:D40"/>
    <mergeCell ref="A44:I44"/>
    <mergeCell ref="A49:I49"/>
    <mergeCell ref="A1:I1"/>
    <mergeCell ref="A2:I2"/>
    <mergeCell ref="A5:A9"/>
    <mergeCell ref="A10:A14"/>
    <mergeCell ref="A15:A19"/>
    <mergeCell ref="A20:B20"/>
    <mergeCell ref="A4:I4"/>
    <mergeCell ref="A22:A25"/>
    <mergeCell ref="A26:A29"/>
    <mergeCell ref="A30:A33"/>
    <mergeCell ref="A34:B34"/>
    <mergeCell ref="B21:I21"/>
    <mergeCell ref="A46:I46"/>
    <mergeCell ref="A47:I47"/>
    <mergeCell ref="A48:I48"/>
  </mergeCells>
  <pageMargins left="0.7" right="0.7" top="0.75" bottom="0.75" header="0.3" footer="0.3"/>
  <pageSetup paperSize="9" scale="3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53"/>
  <sheetViews>
    <sheetView zoomScale="87" workbookViewId="0">
      <selection activeCell="C16" sqref="C16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25" x14ac:dyDescent="0.45">
      <c r="A1" s="71" t="s">
        <v>96</v>
      </c>
      <c r="B1" s="71"/>
      <c r="C1" s="71"/>
      <c r="D1" s="71"/>
      <c r="E1" s="71"/>
      <c r="F1" s="71"/>
      <c r="G1" s="71"/>
      <c r="H1" s="71"/>
      <c r="I1" s="71"/>
    </row>
    <row r="2" spans="1:25" ht="49.5" customHeight="1" x14ac:dyDescent="0.45">
      <c r="A2" s="72" t="s">
        <v>104</v>
      </c>
      <c r="B2" s="71"/>
      <c r="C2" s="71"/>
      <c r="D2" s="71"/>
      <c r="E2" s="71"/>
      <c r="F2" s="71"/>
      <c r="G2" s="71"/>
      <c r="H2" s="71"/>
      <c r="I2" s="71"/>
    </row>
    <row r="3" spans="1:25" ht="64" customHeight="1" x14ac:dyDescent="0.45">
      <c r="A3" s="43" t="s">
        <v>1</v>
      </c>
      <c r="B3" s="44" t="s">
        <v>2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25" x14ac:dyDescent="0.45">
      <c r="A4" s="78" t="s">
        <v>0</v>
      </c>
      <c r="B4" s="79"/>
      <c r="C4" s="79"/>
      <c r="D4" s="79"/>
      <c r="E4" s="79"/>
      <c r="F4" s="79"/>
      <c r="G4" s="79"/>
      <c r="H4" s="79"/>
      <c r="I4" s="79"/>
    </row>
    <row r="5" spans="1:25" x14ac:dyDescent="0.45">
      <c r="A5" s="81" t="s">
        <v>38</v>
      </c>
      <c r="B5" s="27" t="s">
        <v>10</v>
      </c>
      <c r="C5" s="2">
        <v>67100</v>
      </c>
      <c r="D5" s="2">
        <f>C5</f>
        <v>67100</v>
      </c>
      <c r="E5" s="2">
        <f t="shared" ref="E5:G5" si="0">D5</f>
        <v>67100</v>
      </c>
      <c r="F5" s="2">
        <f t="shared" si="0"/>
        <v>67100</v>
      </c>
      <c r="G5" s="2">
        <f t="shared" si="0"/>
        <v>67100</v>
      </c>
      <c r="H5" s="2">
        <f>G5</f>
        <v>67100</v>
      </c>
      <c r="I5" s="2">
        <f>H5</f>
        <v>67100</v>
      </c>
      <c r="J5" s="19"/>
      <c r="K5" s="19"/>
      <c r="L5" s="19"/>
      <c r="M5" s="19"/>
      <c r="N5" s="19"/>
    </row>
    <row r="6" spans="1:25" x14ac:dyDescent="0.45">
      <c r="A6" s="82"/>
      <c r="B6" s="27" t="s">
        <v>11</v>
      </c>
      <c r="C6" s="2">
        <v>15500</v>
      </c>
      <c r="D6" s="2">
        <v>10500</v>
      </c>
      <c r="E6" s="2">
        <v>8500</v>
      </c>
      <c r="F6" s="2">
        <v>6500</v>
      </c>
      <c r="G6" s="2">
        <v>5500</v>
      </c>
      <c r="H6" s="2">
        <v>4500</v>
      </c>
      <c r="I6" s="2">
        <v>3500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45">
      <c r="A7" s="82"/>
      <c r="B7" s="58" t="s">
        <v>44</v>
      </c>
      <c r="C7" s="59">
        <v>13500</v>
      </c>
      <c r="D7" s="59">
        <f>C7</f>
        <v>13500</v>
      </c>
      <c r="E7" s="59">
        <f t="shared" ref="E7:I7" si="1">D7</f>
        <v>13500</v>
      </c>
      <c r="F7" s="59">
        <f t="shared" si="1"/>
        <v>13500</v>
      </c>
      <c r="G7" s="59">
        <f t="shared" si="1"/>
        <v>13500</v>
      </c>
      <c r="H7" s="59">
        <f t="shared" si="1"/>
        <v>13500</v>
      </c>
      <c r="I7" s="59">
        <f t="shared" si="1"/>
        <v>13500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45">
      <c r="A8" s="82"/>
      <c r="B8" s="58" t="s">
        <v>47</v>
      </c>
      <c r="C8" s="59">
        <f>(((C5-C6)*0.95)*2)-C7*2</f>
        <v>71040</v>
      </c>
      <c r="D8" s="59">
        <f t="shared" ref="D8:I8" si="2">(((D5-D6)*0.95)*2)-D7*2</f>
        <v>80540</v>
      </c>
      <c r="E8" s="59">
        <f t="shared" si="2"/>
        <v>84340</v>
      </c>
      <c r="F8" s="59">
        <f t="shared" si="2"/>
        <v>88140</v>
      </c>
      <c r="G8" s="59">
        <f t="shared" si="2"/>
        <v>90040</v>
      </c>
      <c r="H8" s="59">
        <f t="shared" si="2"/>
        <v>91940</v>
      </c>
      <c r="I8" s="59">
        <f t="shared" si="2"/>
        <v>93840</v>
      </c>
      <c r="J8" s="19"/>
      <c r="K8" s="19"/>
      <c r="L8" s="19"/>
      <c r="M8" s="19"/>
      <c r="N8" s="19"/>
    </row>
    <row r="9" spans="1:25" x14ac:dyDescent="0.45">
      <c r="A9" s="82"/>
      <c r="B9" s="58" t="s">
        <v>48</v>
      </c>
      <c r="C9" s="59">
        <f>(C5-C6)-C7</f>
        <v>38100</v>
      </c>
      <c r="D9" s="59">
        <f t="shared" ref="D9:I9" si="3">(D5-D6)-D7</f>
        <v>43100</v>
      </c>
      <c r="E9" s="59">
        <f t="shared" si="3"/>
        <v>45100</v>
      </c>
      <c r="F9" s="59">
        <f t="shared" si="3"/>
        <v>47100</v>
      </c>
      <c r="G9" s="59">
        <f t="shared" si="3"/>
        <v>48100</v>
      </c>
      <c r="H9" s="59">
        <f t="shared" si="3"/>
        <v>49100</v>
      </c>
      <c r="I9" s="59">
        <f t="shared" si="3"/>
        <v>50100</v>
      </c>
      <c r="J9" s="19"/>
      <c r="K9" s="19"/>
      <c r="L9" s="19"/>
      <c r="M9" s="19"/>
      <c r="N9" s="19"/>
      <c r="O9" s="19"/>
    </row>
    <row r="10" spans="1:25" ht="16" customHeight="1" x14ac:dyDescent="0.45">
      <c r="A10" s="81" t="s">
        <v>39</v>
      </c>
      <c r="B10" s="27" t="s">
        <v>12</v>
      </c>
      <c r="C10" s="2">
        <v>68800</v>
      </c>
      <c r="D10" s="2">
        <f t="shared" ref="D10:G10" si="4">C10</f>
        <v>68800</v>
      </c>
      <c r="E10" s="2">
        <f t="shared" si="4"/>
        <v>68800</v>
      </c>
      <c r="F10" s="2">
        <f t="shared" si="4"/>
        <v>68800</v>
      </c>
      <c r="G10" s="2">
        <f t="shared" si="4"/>
        <v>68800</v>
      </c>
      <c r="H10" s="2">
        <f>G10</f>
        <v>68800</v>
      </c>
      <c r="I10" s="2">
        <f t="shared" ref="I10" si="5">H10</f>
        <v>68800</v>
      </c>
    </row>
    <row r="11" spans="1:25" x14ac:dyDescent="0.45">
      <c r="A11" s="82"/>
      <c r="B11" s="27" t="s">
        <v>11</v>
      </c>
      <c r="C11" s="2">
        <f t="shared" ref="C11:I11" si="6">C6</f>
        <v>15500</v>
      </c>
      <c r="D11" s="2">
        <f t="shared" si="6"/>
        <v>10500</v>
      </c>
      <c r="E11" s="2">
        <f t="shared" si="6"/>
        <v>8500</v>
      </c>
      <c r="F11" s="2">
        <f t="shared" si="6"/>
        <v>6500</v>
      </c>
      <c r="G11" s="2">
        <f t="shared" si="6"/>
        <v>5500</v>
      </c>
      <c r="H11" s="2">
        <f t="shared" si="6"/>
        <v>4500</v>
      </c>
      <c r="I11" s="2">
        <f t="shared" si="6"/>
        <v>3500</v>
      </c>
    </row>
    <row r="12" spans="1:25" x14ac:dyDescent="0.45">
      <c r="A12" s="82"/>
      <c r="B12" s="60" t="s">
        <v>44</v>
      </c>
      <c r="C12" s="61">
        <f>C7</f>
        <v>13500</v>
      </c>
      <c r="D12" s="61">
        <f>C12</f>
        <v>13500</v>
      </c>
      <c r="E12" s="61">
        <f t="shared" ref="E12:I12" si="7">D12</f>
        <v>13500</v>
      </c>
      <c r="F12" s="61">
        <f t="shared" si="7"/>
        <v>13500</v>
      </c>
      <c r="G12" s="61">
        <f t="shared" si="7"/>
        <v>13500</v>
      </c>
      <c r="H12" s="61">
        <f t="shared" si="7"/>
        <v>13500</v>
      </c>
      <c r="I12" s="61">
        <f t="shared" si="7"/>
        <v>13500</v>
      </c>
    </row>
    <row r="13" spans="1:25" x14ac:dyDescent="0.45">
      <c r="A13" s="82"/>
      <c r="B13" s="60" t="s">
        <v>47</v>
      </c>
      <c r="C13" s="61">
        <f>(((C10-C11)*0.95)*2)-C12*2</f>
        <v>74270</v>
      </c>
      <c r="D13" s="61">
        <f t="shared" ref="D13:I13" si="8">(((D10-D11)*0.95)*2)-D12*2</f>
        <v>83770</v>
      </c>
      <c r="E13" s="61">
        <f t="shared" si="8"/>
        <v>87570</v>
      </c>
      <c r="F13" s="61">
        <f t="shared" si="8"/>
        <v>91370</v>
      </c>
      <c r="G13" s="61">
        <f t="shared" si="8"/>
        <v>93270</v>
      </c>
      <c r="H13" s="61">
        <f t="shared" si="8"/>
        <v>95170</v>
      </c>
      <c r="I13" s="61">
        <f t="shared" si="8"/>
        <v>97070</v>
      </c>
    </row>
    <row r="14" spans="1:25" x14ac:dyDescent="0.45">
      <c r="A14" s="82"/>
      <c r="B14" s="60" t="s">
        <v>48</v>
      </c>
      <c r="C14" s="61">
        <f>(C10-C11)-C12</f>
        <v>39800</v>
      </c>
      <c r="D14" s="61">
        <f t="shared" ref="D14:I14" si="9">(D10-D11)-D12</f>
        <v>44800</v>
      </c>
      <c r="E14" s="61">
        <f t="shared" si="9"/>
        <v>46800</v>
      </c>
      <c r="F14" s="61">
        <f t="shared" si="9"/>
        <v>48800</v>
      </c>
      <c r="G14" s="61">
        <f t="shared" si="9"/>
        <v>49800</v>
      </c>
      <c r="H14" s="61">
        <f t="shared" si="9"/>
        <v>50800</v>
      </c>
      <c r="I14" s="61">
        <f t="shared" si="9"/>
        <v>51800</v>
      </c>
    </row>
    <row r="15" spans="1:25" x14ac:dyDescent="0.45">
      <c r="A15" s="81" t="s">
        <v>40</v>
      </c>
      <c r="B15" s="27" t="s">
        <v>12</v>
      </c>
      <c r="C15" s="2">
        <f>C10*1.05</f>
        <v>72240</v>
      </c>
      <c r="D15" s="2">
        <f t="shared" ref="D15:G15" si="10">C15</f>
        <v>72240</v>
      </c>
      <c r="E15" s="2">
        <f t="shared" si="10"/>
        <v>72240</v>
      </c>
      <c r="F15" s="2">
        <f t="shared" si="10"/>
        <v>72240</v>
      </c>
      <c r="G15" s="2">
        <f t="shared" si="10"/>
        <v>72240</v>
      </c>
      <c r="H15" s="2">
        <f>H10*1.05</f>
        <v>72240</v>
      </c>
      <c r="I15" s="2">
        <f t="shared" ref="I15" si="11">H15</f>
        <v>72240</v>
      </c>
    </row>
    <row r="16" spans="1:25" x14ac:dyDescent="0.45">
      <c r="A16" s="82"/>
      <c r="B16" s="27" t="s">
        <v>11</v>
      </c>
      <c r="C16" s="2">
        <f t="shared" ref="C16:I16" si="12">C11</f>
        <v>15500</v>
      </c>
      <c r="D16" s="2">
        <f t="shared" si="12"/>
        <v>10500</v>
      </c>
      <c r="E16" s="2">
        <f t="shared" si="12"/>
        <v>8500</v>
      </c>
      <c r="F16" s="2">
        <f t="shared" si="12"/>
        <v>6500</v>
      </c>
      <c r="G16" s="2">
        <f t="shared" si="12"/>
        <v>5500</v>
      </c>
      <c r="H16" s="2">
        <f t="shared" si="12"/>
        <v>4500</v>
      </c>
      <c r="I16" s="2">
        <f t="shared" si="12"/>
        <v>3500</v>
      </c>
    </row>
    <row r="17" spans="1:15" x14ac:dyDescent="0.45">
      <c r="A17" s="82"/>
      <c r="B17" s="62" t="s">
        <v>44</v>
      </c>
      <c r="C17" s="63">
        <f>C12</f>
        <v>13500</v>
      </c>
      <c r="D17" s="63">
        <f>C17</f>
        <v>13500</v>
      </c>
      <c r="E17" s="63">
        <f t="shared" ref="E17:I17" si="13">D17</f>
        <v>13500</v>
      </c>
      <c r="F17" s="63">
        <f t="shared" si="13"/>
        <v>13500</v>
      </c>
      <c r="G17" s="63">
        <f t="shared" si="13"/>
        <v>13500</v>
      </c>
      <c r="H17" s="63">
        <f t="shared" si="13"/>
        <v>13500</v>
      </c>
      <c r="I17" s="63">
        <f t="shared" si="13"/>
        <v>13500</v>
      </c>
    </row>
    <row r="18" spans="1:15" x14ac:dyDescent="0.45">
      <c r="A18" s="82"/>
      <c r="B18" s="62" t="s">
        <v>47</v>
      </c>
      <c r="C18" s="63">
        <f>(((C15-C16)*0.95)*2)-C17*2</f>
        <v>80806</v>
      </c>
      <c r="D18" s="63">
        <f t="shared" ref="D18:I18" si="14">(((D15-D16)*0.95)*2)-D17*2</f>
        <v>90306</v>
      </c>
      <c r="E18" s="63">
        <f t="shared" si="14"/>
        <v>94106</v>
      </c>
      <c r="F18" s="63">
        <f t="shared" si="14"/>
        <v>97906</v>
      </c>
      <c r="G18" s="63">
        <f t="shared" si="14"/>
        <v>99806</v>
      </c>
      <c r="H18" s="63">
        <f t="shared" si="14"/>
        <v>101706</v>
      </c>
      <c r="I18" s="63">
        <f t="shared" si="14"/>
        <v>103606</v>
      </c>
    </row>
    <row r="19" spans="1:15" x14ac:dyDescent="0.45">
      <c r="A19" s="82"/>
      <c r="B19" s="62" t="s">
        <v>48</v>
      </c>
      <c r="C19" s="63">
        <f>(C15-C16)-C17</f>
        <v>43240</v>
      </c>
      <c r="D19" s="63">
        <f t="shared" ref="D19:I19" si="15">(D15-D16)-D17</f>
        <v>48240</v>
      </c>
      <c r="E19" s="63">
        <f t="shared" si="15"/>
        <v>50240</v>
      </c>
      <c r="F19" s="63">
        <f t="shared" si="15"/>
        <v>52240</v>
      </c>
      <c r="G19" s="63">
        <f t="shared" si="15"/>
        <v>53240</v>
      </c>
      <c r="H19" s="63">
        <f t="shared" si="15"/>
        <v>54240</v>
      </c>
      <c r="I19" s="63">
        <f t="shared" si="15"/>
        <v>55240</v>
      </c>
    </row>
    <row r="20" spans="1:15" x14ac:dyDescent="0.45">
      <c r="A20" s="83" t="s">
        <v>13</v>
      </c>
      <c r="B20" s="83"/>
      <c r="C20" s="63">
        <f t="shared" ref="C20:I20" si="16">SUM(C8,C13,C18)</f>
        <v>226116</v>
      </c>
      <c r="D20" s="63">
        <f t="shared" si="16"/>
        <v>254616</v>
      </c>
      <c r="E20" s="63">
        <f t="shared" si="16"/>
        <v>266016</v>
      </c>
      <c r="F20" s="63">
        <f t="shared" si="16"/>
        <v>277416</v>
      </c>
      <c r="G20" s="63">
        <f t="shared" si="16"/>
        <v>283116</v>
      </c>
      <c r="H20" s="63">
        <f t="shared" si="16"/>
        <v>288816</v>
      </c>
      <c r="I20" s="63">
        <f t="shared" si="16"/>
        <v>294516</v>
      </c>
    </row>
    <row r="21" spans="1:15" x14ac:dyDescent="0.45">
      <c r="A21" s="56"/>
      <c r="B21" s="75" t="s">
        <v>14</v>
      </c>
      <c r="C21" s="76"/>
      <c r="D21" s="76"/>
      <c r="E21" s="76"/>
      <c r="F21" s="76"/>
      <c r="G21" s="76"/>
      <c r="H21" s="76"/>
      <c r="I21" s="76"/>
      <c r="J21" s="19"/>
      <c r="K21" s="19"/>
      <c r="L21" s="19"/>
      <c r="M21" s="19"/>
      <c r="N21" s="19"/>
      <c r="O21" s="19"/>
    </row>
    <row r="22" spans="1:15" ht="24" customHeight="1" x14ac:dyDescent="0.45">
      <c r="A22" s="81" t="s">
        <v>38</v>
      </c>
      <c r="B22" s="15" t="s">
        <v>15</v>
      </c>
      <c r="C22" s="2">
        <f>C5*0.75</f>
        <v>50325</v>
      </c>
      <c r="D22" s="2">
        <f t="shared" ref="D22:G22" si="17">C22</f>
        <v>50325</v>
      </c>
      <c r="E22" s="2">
        <f t="shared" si="17"/>
        <v>50325</v>
      </c>
      <c r="F22" s="2">
        <f t="shared" si="17"/>
        <v>50325</v>
      </c>
      <c r="G22" s="2">
        <f t="shared" si="17"/>
        <v>50325</v>
      </c>
      <c r="H22" s="2">
        <f>H5*0.75</f>
        <v>50325</v>
      </c>
      <c r="I22" s="2">
        <f t="shared" ref="I22" si="18">H22</f>
        <v>50325</v>
      </c>
    </row>
    <row r="23" spans="1:15" x14ac:dyDescent="0.45">
      <c r="A23" s="82"/>
      <c r="B23" s="15" t="s">
        <v>11</v>
      </c>
      <c r="C23" s="2">
        <v>15500</v>
      </c>
      <c r="D23" s="2">
        <v>10500</v>
      </c>
      <c r="E23" s="2">
        <v>8500</v>
      </c>
      <c r="F23" s="2">
        <v>6500</v>
      </c>
      <c r="G23" s="2">
        <v>5500</v>
      </c>
      <c r="H23" s="2">
        <v>4500</v>
      </c>
      <c r="I23" s="2">
        <v>3500</v>
      </c>
    </row>
    <row r="24" spans="1:15" x14ac:dyDescent="0.45">
      <c r="A24" s="82"/>
      <c r="B24" s="58" t="s">
        <v>47</v>
      </c>
      <c r="C24" s="59">
        <f>((C22-C23)*0.95)*2</f>
        <v>66167.5</v>
      </c>
      <c r="D24" s="59">
        <f t="shared" ref="D24:H24" si="19">((D22-D23)*0.95)*2</f>
        <v>75667.5</v>
      </c>
      <c r="E24" s="59">
        <f t="shared" si="19"/>
        <v>79467.5</v>
      </c>
      <c r="F24" s="59">
        <f t="shared" si="19"/>
        <v>83267.5</v>
      </c>
      <c r="G24" s="59">
        <f t="shared" si="19"/>
        <v>85167.5</v>
      </c>
      <c r="H24" s="59">
        <f t="shared" si="19"/>
        <v>87067.5</v>
      </c>
      <c r="I24" s="59">
        <f>((I22-I23)*0.95)*2</f>
        <v>88967.5</v>
      </c>
      <c r="J24" s="19"/>
      <c r="K24" s="19"/>
      <c r="L24" s="19"/>
      <c r="M24" s="19"/>
      <c r="N24" s="19"/>
      <c r="O24" s="19"/>
    </row>
    <row r="25" spans="1:15" x14ac:dyDescent="0.45">
      <c r="A25" s="82"/>
      <c r="B25" s="33" t="s">
        <v>48</v>
      </c>
      <c r="C25" s="59">
        <f>(C22-C23)</f>
        <v>34825</v>
      </c>
      <c r="D25" s="59">
        <f t="shared" ref="D25:I25" si="20">(D22-D23)</f>
        <v>39825</v>
      </c>
      <c r="E25" s="59">
        <f t="shared" si="20"/>
        <v>41825</v>
      </c>
      <c r="F25" s="59">
        <f t="shared" si="20"/>
        <v>43825</v>
      </c>
      <c r="G25" s="59">
        <f t="shared" si="20"/>
        <v>44825</v>
      </c>
      <c r="H25" s="59">
        <f t="shared" si="20"/>
        <v>45825</v>
      </c>
      <c r="I25" s="59">
        <f t="shared" si="20"/>
        <v>46825</v>
      </c>
      <c r="J25" s="19"/>
      <c r="K25" s="19"/>
      <c r="L25" s="19"/>
      <c r="M25" s="19"/>
      <c r="N25" s="19"/>
      <c r="O25" s="19"/>
    </row>
    <row r="26" spans="1:15" x14ac:dyDescent="0.45">
      <c r="A26" s="81" t="s">
        <v>39</v>
      </c>
      <c r="B26" s="15" t="s">
        <v>15</v>
      </c>
      <c r="C26" s="2">
        <f>C10*0.75</f>
        <v>51600</v>
      </c>
      <c r="D26" s="2">
        <f t="shared" ref="D26:G26" si="21">C26</f>
        <v>51600</v>
      </c>
      <c r="E26" s="2">
        <f t="shared" si="21"/>
        <v>51600</v>
      </c>
      <c r="F26" s="2">
        <f t="shared" si="21"/>
        <v>51600</v>
      </c>
      <c r="G26" s="2">
        <f t="shared" si="21"/>
        <v>51600</v>
      </c>
      <c r="H26" s="2">
        <f>G26</f>
        <v>51600</v>
      </c>
      <c r="I26" s="2">
        <f t="shared" ref="I26" si="22">H26</f>
        <v>51600</v>
      </c>
    </row>
    <row r="27" spans="1:15" x14ac:dyDescent="0.45">
      <c r="A27" s="82"/>
      <c r="B27" s="15" t="s">
        <v>11</v>
      </c>
      <c r="C27" s="2">
        <f t="shared" ref="C27:I27" si="23">C23</f>
        <v>15500</v>
      </c>
      <c r="D27" s="2">
        <f t="shared" si="23"/>
        <v>10500</v>
      </c>
      <c r="E27" s="2">
        <f t="shared" si="23"/>
        <v>8500</v>
      </c>
      <c r="F27" s="2">
        <f t="shared" si="23"/>
        <v>6500</v>
      </c>
      <c r="G27" s="2">
        <f t="shared" si="23"/>
        <v>5500</v>
      </c>
      <c r="H27" s="2">
        <f t="shared" si="23"/>
        <v>4500</v>
      </c>
      <c r="I27" s="2">
        <f t="shared" si="23"/>
        <v>3500</v>
      </c>
    </row>
    <row r="28" spans="1:15" x14ac:dyDescent="0.45">
      <c r="A28" s="82"/>
      <c r="B28" s="60" t="s">
        <v>47</v>
      </c>
      <c r="C28" s="61">
        <f>((C26-C27)*0.95)*2</f>
        <v>68590</v>
      </c>
      <c r="D28" s="61">
        <f t="shared" ref="D28:I28" si="24">((D26-D27)*0.95)*2</f>
        <v>78090</v>
      </c>
      <c r="E28" s="61">
        <f t="shared" si="24"/>
        <v>81890</v>
      </c>
      <c r="F28" s="61">
        <f t="shared" si="24"/>
        <v>85690</v>
      </c>
      <c r="G28" s="61">
        <f t="shared" si="24"/>
        <v>87590</v>
      </c>
      <c r="H28" s="61">
        <f t="shared" si="24"/>
        <v>89490</v>
      </c>
      <c r="I28" s="61">
        <f t="shared" si="24"/>
        <v>91390</v>
      </c>
    </row>
    <row r="29" spans="1:15" x14ac:dyDescent="0.45">
      <c r="A29" s="82"/>
      <c r="B29" s="31" t="s">
        <v>48</v>
      </c>
      <c r="C29" s="61">
        <f>(C26-C27)</f>
        <v>36100</v>
      </c>
      <c r="D29" s="61">
        <f t="shared" ref="D29:I29" si="25">(D26-D27)</f>
        <v>41100</v>
      </c>
      <c r="E29" s="61">
        <f t="shared" si="25"/>
        <v>43100</v>
      </c>
      <c r="F29" s="61">
        <f t="shared" si="25"/>
        <v>45100</v>
      </c>
      <c r="G29" s="61">
        <f t="shared" si="25"/>
        <v>46100</v>
      </c>
      <c r="H29" s="61">
        <f t="shared" si="25"/>
        <v>47100</v>
      </c>
      <c r="I29" s="61">
        <f t="shared" si="25"/>
        <v>48100</v>
      </c>
    </row>
    <row r="30" spans="1:15" x14ac:dyDescent="0.45">
      <c r="A30" s="81" t="s">
        <v>40</v>
      </c>
      <c r="B30" s="15" t="s">
        <v>15</v>
      </c>
      <c r="C30" s="2">
        <f>C26*1.05</f>
        <v>54180</v>
      </c>
      <c r="D30" s="2">
        <f t="shared" ref="D30:G30" si="26">C30</f>
        <v>54180</v>
      </c>
      <c r="E30" s="2">
        <f t="shared" si="26"/>
        <v>54180</v>
      </c>
      <c r="F30" s="2">
        <f t="shared" si="26"/>
        <v>54180</v>
      </c>
      <c r="G30" s="2">
        <f t="shared" si="26"/>
        <v>54180</v>
      </c>
      <c r="H30" s="2">
        <f>H26*1.05</f>
        <v>54180</v>
      </c>
      <c r="I30" s="2">
        <f t="shared" ref="I30" si="27">H30</f>
        <v>54180</v>
      </c>
    </row>
    <row r="31" spans="1:15" x14ac:dyDescent="0.45">
      <c r="A31" s="82"/>
      <c r="B31" s="15" t="s">
        <v>11</v>
      </c>
      <c r="C31" s="2">
        <f t="shared" ref="C31:I31" si="28">C27</f>
        <v>15500</v>
      </c>
      <c r="D31" s="2">
        <f t="shared" si="28"/>
        <v>10500</v>
      </c>
      <c r="E31" s="2">
        <f t="shared" si="28"/>
        <v>8500</v>
      </c>
      <c r="F31" s="2">
        <f t="shared" si="28"/>
        <v>6500</v>
      </c>
      <c r="G31" s="2">
        <f t="shared" si="28"/>
        <v>5500</v>
      </c>
      <c r="H31" s="2">
        <f t="shared" si="28"/>
        <v>4500</v>
      </c>
      <c r="I31" s="2">
        <f t="shared" si="28"/>
        <v>3500</v>
      </c>
    </row>
    <row r="32" spans="1:15" x14ac:dyDescent="0.45">
      <c r="A32" s="82"/>
      <c r="B32" s="62" t="s">
        <v>47</v>
      </c>
      <c r="C32" s="63">
        <f>((C30-C31)*0.95)*2</f>
        <v>73492</v>
      </c>
      <c r="D32" s="63">
        <f t="shared" ref="D32:I32" si="29">((D30-D31)*0.95)*2</f>
        <v>82992</v>
      </c>
      <c r="E32" s="63">
        <f t="shared" si="29"/>
        <v>86792</v>
      </c>
      <c r="F32" s="63">
        <f t="shared" si="29"/>
        <v>90592</v>
      </c>
      <c r="G32" s="63">
        <f t="shared" si="29"/>
        <v>92492</v>
      </c>
      <c r="H32" s="63">
        <f t="shared" si="29"/>
        <v>94392</v>
      </c>
      <c r="I32" s="63">
        <f t="shared" si="29"/>
        <v>96292</v>
      </c>
    </row>
    <row r="33" spans="1:9" x14ac:dyDescent="0.45">
      <c r="A33" s="82"/>
      <c r="B33" s="32" t="s">
        <v>48</v>
      </c>
      <c r="C33" s="63">
        <f>(C30-C31)</f>
        <v>38680</v>
      </c>
      <c r="D33" s="63">
        <f t="shared" ref="D33:I33" si="30">(D30-D31)</f>
        <v>43680</v>
      </c>
      <c r="E33" s="63">
        <f t="shared" si="30"/>
        <v>45680</v>
      </c>
      <c r="F33" s="63">
        <f t="shared" si="30"/>
        <v>47680</v>
      </c>
      <c r="G33" s="63">
        <f t="shared" si="30"/>
        <v>48680</v>
      </c>
      <c r="H33" s="63">
        <f t="shared" si="30"/>
        <v>49680</v>
      </c>
      <c r="I33" s="63">
        <f t="shared" si="30"/>
        <v>50680</v>
      </c>
    </row>
    <row r="34" spans="1:9" x14ac:dyDescent="0.45">
      <c r="A34" s="83" t="s">
        <v>13</v>
      </c>
      <c r="B34" s="83"/>
      <c r="C34" s="63">
        <f t="shared" ref="C34:I34" si="31">SUM(C24,C28,C32)</f>
        <v>208249.5</v>
      </c>
      <c r="D34" s="63">
        <f t="shared" si="31"/>
        <v>236749.5</v>
      </c>
      <c r="E34" s="63">
        <f t="shared" si="31"/>
        <v>248149.5</v>
      </c>
      <c r="F34" s="63">
        <f t="shared" si="31"/>
        <v>259549.5</v>
      </c>
      <c r="G34" s="63">
        <f t="shared" si="31"/>
        <v>265249.5</v>
      </c>
      <c r="H34" s="63">
        <f t="shared" si="31"/>
        <v>270949.5</v>
      </c>
      <c r="I34" s="63">
        <f t="shared" si="31"/>
        <v>276649.5</v>
      </c>
    </row>
    <row r="35" spans="1:9" ht="16" customHeight="1" x14ac:dyDescent="0.45">
      <c r="A35" s="84" t="s">
        <v>16</v>
      </c>
      <c r="B35" s="84"/>
      <c r="C35" s="84"/>
      <c r="D35" s="84"/>
      <c r="E35" s="84"/>
      <c r="F35" s="84"/>
      <c r="G35" s="84"/>
      <c r="H35" s="84"/>
      <c r="I35" s="84"/>
    </row>
    <row r="36" spans="1:9" ht="16" customHeight="1" x14ac:dyDescent="0.45">
      <c r="A36" s="84"/>
      <c r="B36" s="84"/>
      <c r="C36" s="84"/>
      <c r="D36" s="84"/>
      <c r="E36" s="84"/>
      <c r="F36" s="84"/>
      <c r="G36" s="84"/>
      <c r="H36" s="84"/>
      <c r="I36" s="84"/>
    </row>
    <row r="37" spans="1:9" ht="17.149999999999999" customHeight="1" x14ac:dyDescent="0.45">
      <c r="A37" s="84"/>
      <c r="B37" s="84"/>
      <c r="C37" s="84"/>
      <c r="D37" s="84"/>
      <c r="E37" s="84"/>
      <c r="F37" s="84"/>
      <c r="G37" s="84"/>
      <c r="H37" s="84"/>
      <c r="I37" s="84"/>
    </row>
    <row r="38" spans="1:9" x14ac:dyDescent="0.45">
      <c r="A38" s="85" t="s">
        <v>17</v>
      </c>
      <c r="B38" s="85"/>
      <c r="C38" s="86" t="s">
        <v>18</v>
      </c>
      <c r="D38" s="86"/>
      <c r="E38" s="7">
        <v>5000</v>
      </c>
      <c r="F38" s="57"/>
      <c r="G38" s="65"/>
      <c r="H38" s="56"/>
      <c r="I38" s="56"/>
    </row>
    <row r="39" spans="1:9" ht="16" customHeight="1" x14ac:dyDescent="0.45">
      <c r="A39" s="85"/>
      <c r="B39" s="85"/>
      <c r="C39" s="86" t="s">
        <v>19</v>
      </c>
      <c r="D39" s="86"/>
      <c r="E39" s="7">
        <v>3000</v>
      </c>
      <c r="F39" s="57"/>
      <c r="G39" s="65"/>
      <c r="H39" s="56"/>
      <c r="I39" s="56"/>
    </row>
    <row r="40" spans="1:9" ht="16" customHeight="1" x14ac:dyDescent="0.45">
      <c r="A40" s="85"/>
      <c r="B40" s="85"/>
      <c r="C40" s="87" t="s">
        <v>20</v>
      </c>
      <c r="D40" s="87"/>
      <c r="E40" s="7">
        <v>3000</v>
      </c>
      <c r="F40" s="66"/>
      <c r="G40" s="67"/>
      <c r="H40" s="56"/>
      <c r="I40" s="56"/>
    </row>
    <row r="41" spans="1:9" ht="33" customHeight="1" x14ac:dyDescent="0.45">
      <c r="A41" s="20" t="s">
        <v>21</v>
      </c>
      <c r="B41" s="20" t="s">
        <v>22</v>
      </c>
      <c r="C41" s="21" t="s">
        <v>23</v>
      </c>
      <c r="D41" s="21" t="s">
        <v>24</v>
      </c>
      <c r="E41" s="21" t="s">
        <v>25</v>
      </c>
      <c r="F41" s="21" t="s">
        <v>26</v>
      </c>
      <c r="G41" s="20" t="s">
        <v>27</v>
      </c>
      <c r="H41" s="20" t="s">
        <v>28</v>
      </c>
      <c r="I41" s="20" t="s">
        <v>29</v>
      </c>
    </row>
    <row r="42" spans="1:9" ht="14.5" customHeight="1" x14ac:dyDescent="0.45">
      <c r="A42" s="16" t="s">
        <v>30</v>
      </c>
      <c r="B42" s="7">
        <f>B43*2</f>
        <v>7000</v>
      </c>
      <c r="C42" s="7">
        <f t="shared" ref="C42:H42" si="32">C43*2</f>
        <v>5000</v>
      </c>
      <c r="D42" s="7">
        <v>1000</v>
      </c>
      <c r="E42" s="7">
        <f t="shared" si="32"/>
        <v>1500</v>
      </c>
      <c r="F42" s="7">
        <f t="shared" si="32"/>
        <v>1000</v>
      </c>
      <c r="G42" s="7">
        <f t="shared" si="32"/>
        <v>1000</v>
      </c>
      <c r="H42" s="7">
        <f t="shared" si="32"/>
        <v>2000</v>
      </c>
      <c r="I42" s="7">
        <f>SUM(B42:H42)</f>
        <v>18500</v>
      </c>
    </row>
    <row r="43" spans="1:9" ht="14.5" customHeight="1" x14ac:dyDescent="0.45">
      <c r="A43" s="16" t="s">
        <v>31</v>
      </c>
      <c r="B43" s="7">
        <v>3500</v>
      </c>
      <c r="C43" s="7">
        <v>2500</v>
      </c>
      <c r="D43" s="22">
        <v>1000</v>
      </c>
      <c r="E43" s="22">
        <v>750</v>
      </c>
      <c r="F43" s="22">
        <v>500</v>
      </c>
      <c r="G43" s="7">
        <v>500</v>
      </c>
      <c r="H43" s="7">
        <v>1000</v>
      </c>
      <c r="I43" s="7">
        <f>SUM(B43:H43)</f>
        <v>9750</v>
      </c>
    </row>
    <row r="44" spans="1:9" ht="15" customHeight="1" x14ac:dyDescent="0.45">
      <c r="A44" s="92" t="s">
        <v>72</v>
      </c>
      <c r="B44" s="92"/>
      <c r="C44" s="92"/>
      <c r="D44" s="92"/>
      <c r="E44" s="92"/>
      <c r="F44" s="92"/>
      <c r="G44" s="92"/>
      <c r="H44" s="92"/>
      <c r="I44" s="92"/>
    </row>
    <row r="45" spans="1:9" ht="24" customHeight="1" x14ac:dyDescent="0.45">
      <c r="A45" s="102" t="s">
        <v>45</v>
      </c>
      <c r="B45" s="103"/>
      <c r="C45" s="103"/>
      <c r="D45" s="103"/>
      <c r="E45" s="103"/>
      <c r="F45" s="103"/>
      <c r="G45" s="103"/>
      <c r="H45" s="103"/>
      <c r="I45" s="103"/>
    </row>
    <row r="46" spans="1:9" ht="22" customHeight="1" x14ac:dyDescent="0.45">
      <c r="A46" s="106" t="s">
        <v>46</v>
      </c>
      <c r="B46" s="107"/>
      <c r="C46" s="107"/>
      <c r="D46" s="107"/>
      <c r="E46" s="107"/>
      <c r="F46" s="107"/>
      <c r="G46" s="107"/>
      <c r="H46" s="107"/>
      <c r="I46" s="107"/>
    </row>
    <row r="47" spans="1:9" ht="34" customHeight="1" x14ac:dyDescent="0.45">
      <c r="A47" s="100" t="s">
        <v>43</v>
      </c>
      <c r="B47" s="101"/>
      <c r="C47" s="101"/>
      <c r="D47" s="101"/>
      <c r="E47" s="101"/>
      <c r="F47" s="101"/>
      <c r="G47" s="101"/>
      <c r="H47" s="101"/>
      <c r="I47" s="101"/>
    </row>
    <row r="48" spans="1:9" x14ac:dyDescent="0.45">
      <c r="A48" s="102" t="s">
        <v>32</v>
      </c>
      <c r="B48" s="103"/>
      <c r="C48" s="103"/>
      <c r="D48" s="103"/>
      <c r="E48" s="103"/>
      <c r="F48" s="103"/>
      <c r="G48" s="103"/>
      <c r="H48" s="103"/>
      <c r="I48" s="103"/>
    </row>
    <row r="49" spans="1:9" ht="28" customHeight="1" x14ac:dyDescent="0.45">
      <c r="A49" s="104" t="s">
        <v>83</v>
      </c>
      <c r="B49" s="105"/>
      <c r="C49" s="105"/>
      <c r="D49" s="105"/>
      <c r="E49" s="105"/>
      <c r="F49" s="105"/>
      <c r="G49" s="105"/>
      <c r="H49" s="105"/>
      <c r="I49" s="105"/>
    </row>
    <row r="50" spans="1:9" ht="13.5" customHeight="1" x14ac:dyDescent="0.45">
      <c r="A50" s="98" t="s">
        <v>9</v>
      </c>
      <c r="B50" s="99"/>
      <c r="C50" s="99"/>
      <c r="D50" s="99"/>
      <c r="E50" s="99"/>
      <c r="F50" s="99"/>
      <c r="G50" s="99"/>
      <c r="H50" s="99"/>
      <c r="I50" s="99"/>
    </row>
    <row r="52" spans="1:9" ht="28.75" customHeight="1" x14ac:dyDescent="0.45"/>
    <row r="53" spans="1:9" ht="39" customHeight="1" x14ac:dyDescent="0.45"/>
  </sheetData>
  <mergeCells count="24">
    <mergeCell ref="A38:B40"/>
    <mergeCell ref="C38:D38"/>
    <mergeCell ref="C39:D39"/>
    <mergeCell ref="C40:D40"/>
    <mergeCell ref="A44:I44"/>
    <mergeCell ref="A35:I37"/>
    <mergeCell ref="A1:I1"/>
    <mergeCell ref="A2:I2"/>
    <mergeCell ref="A5:A9"/>
    <mergeCell ref="A10:A14"/>
    <mergeCell ref="A15:A19"/>
    <mergeCell ref="A20:B20"/>
    <mergeCell ref="A4:I4"/>
    <mergeCell ref="B21:I21"/>
    <mergeCell ref="A22:A25"/>
    <mergeCell ref="A26:A29"/>
    <mergeCell ref="A30:A33"/>
    <mergeCell ref="A34:B34"/>
    <mergeCell ref="A50:I50"/>
    <mergeCell ref="A47:I47"/>
    <mergeCell ref="A48:I48"/>
    <mergeCell ref="A49:I49"/>
    <mergeCell ref="A45:I45"/>
    <mergeCell ref="A46:I46"/>
  </mergeCells>
  <pageMargins left="0.7" right="0.7" top="0.75" bottom="0.75" header="0.3" footer="0.3"/>
  <pageSetup paperSize="9" scale="4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53"/>
  <sheetViews>
    <sheetView zoomScale="94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25" x14ac:dyDescent="0.45">
      <c r="A1" s="71" t="s">
        <v>105</v>
      </c>
      <c r="B1" s="71"/>
      <c r="C1" s="71"/>
      <c r="D1" s="71"/>
      <c r="E1" s="71"/>
      <c r="F1" s="71"/>
      <c r="G1" s="71"/>
      <c r="H1" s="71"/>
      <c r="I1" s="71"/>
    </row>
    <row r="2" spans="1:25" ht="49.5" customHeight="1" x14ac:dyDescent="0.45">
      <c r="A2" s="72" t="s">
        <v>106</v>
      </c>
      <c r="B2" s="71"/>
      <c r="C2" s="71"/>
      <c r="D2" s="71"/>
      <c r="E2" s="71"/>
      <c r="F2" s="71"/>
      <c r="G2" s="71"/>
      <c r="H2" s="71"/>
      <c r="I2" s="71"/>
    </row>
    <row r="3" spans="1:25" ht="64" customHeight="1" x14ac:dyDescent="0.45">
      <c r="A3" s="43" t="s">
        <v>1</v>
      </c>
      <c r="B3" s="44" t="s">
        <v>2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25" x14ac:dyDescent="0.45">
      <c r="A4" s="78" t="s">
        <v>0</v>
      </c>
      <c r="B4" s="79"/>
      <c r="C4" s="79"/>
      <c r="D4" s="79"/>
      <c r="E4" s="79"/>
      <c r="F4" s="79"/>
      <c r="G4" s="79"/>
      <c r="H4" s="79"/>
      <c r="I4" s="79"/>
    </row>
    <row r="5" spans="1:25" x14ac:dyDescent="0.45">
      <c r="A5" s="81" t="s">
        <v>38</v>
      </c>
      <c r="B5" s="27" t="s">
        <v>10</v>
      </c>
      <c r="C5" s="2">
        <v>67100</v>
      </c>
      <c r="D5" s="2">
        <f>C5</f>
        <v>67100</v>
      </c>
      <c r="E5" s="2">
        <f t="shared" ref="E5:G5" si="0">D5</f>
        <v>67100</v>
      </c>
      <c r="F5" s="2">
        <f t="shared" si="0"/>
        <v>67100</v>
      </c>
      <c r="G5" s="2">
        <f t="shared" si="0"/>
        <v>67100</v>
      </c>
      <c r="H5" s="2">
        <f>G5</f>
        <v>67100</v>
      </c>
      <c r="I5" s="2">
        <f>H5</f>
        <v>67100</v>
      </c>
      <c r="J5" s="19"/>
      <c r="K5" s="19"/>
      <c r="L5" s="19"/>
      <c r="M5" s="19"/>
      <c r="N5" s="19"/>
    </row>
    <row r="6" spans="1:25" x14ac:dyDescent="0.45">
      <c r="A6" s="82"/>
      <c r="B6" s="27" t="s">
        <v>11</v>
      </c>
      <c r="C6" s="2">
        <v>15500</v>
      </c>
      <c r="D6" s="2">
        <v>10500</v>
      </c>
      <c r="E6" s="2">
        <v>8500</v>
      </c>
      <c r="F6" s="2">
        <v>6500</v>
      </c>
      <c r="G6" s="2">
        <v>5500</v>
      </c>
      <c r="H6" s="2">
        <v>4500</v>
      </c>
      <c r="I6" s="2">
        <v>3500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45">
      <c r="A7" s="82"/>
      <c r="B7" s="58" t="s">
        <v>44</v>
      </c>
      <c r="C7" s="59">
        <v>13500</v>
      </c>
      <c r="D7" s="59">
        <f>C7</f>
        <v>13500</v>
      </c>
      <c r="E7" s="59">
        <f t="shared" ref="E7:I7" si="1">D7</f>
        <v>13500</v>
      </c>
      <c r="F7" s="59">
        <f t="shared" si="1"/>
        <v>13500</v>
      </c>
      <c r="G7" s="59">
        <f t="shared" si="1"/>
        <v>13500</v>
      </c>
      <c r="H7" s="59">
        <f t="shared" si="1"/>
        <v>13500</v>
      </c>
      <c r="I7" s="59">
        <f t="shared" si="1"/>
        <v>13500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45">
      <c r="A8" s="82"/>
      <c r="B8" s="58" t="s">
        <v>47</v>
      </c>
      <c r="C8" s="59">
        <f>(((C5-C6)*0.95)*2)-C7*2</f>
        <v>71040</v>
      </c>
      <c r="D8" s="59">
        <f t="shared" ref="D8:I8" si="2">(((D5-D6)*0.95)*2)-D7*2</f>
        <v>80540</v>
      </c>
      <c r="E8" s="59">
        <f t="shared" si="2"/>
        <v>84340</v>
      </c>
      <c r="F8" s="59">
        <f t="shared" si="2"/>
        <v>88140</v>
      </c>
      <c r="G8" s="59">
        <f t="shared" si="2"/>
        <v>90040</v>
      </c>
      <c r="H8" s="59">
        <f t="shared" si="2"/>
        <v>91940</v>
      </c>
      <c r="I8" s="59">
        <f t="shared" si="2"/>
        <v>93840</v>
      </c>
      <c r="J8" s="19"/>
      <c r="K8" s="19"/>
      <c r="L8" s="19"/>
      <c r="M8" s="19"/>
      <c r="N8" s="19"/>
    </row>
    <row r="9" spans="1:25" x14ac:dyDescent="0.45">
      <c r="A9" s="82"/>
      <c r="B9" s="58" t="s">
        <v>48</v>
      </c>
      <c r="C9" s="59">
        <f>(C5-C6)-C7</f>
        <v>38100</v>
      </c>
      <c r="D9" s="59">
        <f t="shared" ref="D9:I9" si="3">(D5-D6)-D7</f>
        <v>43100</v>
      </c>
      <c r="E9" s="59">
        <f t="shared" si="3"/>
        <v>45100</v>
      </c>
      <c r="F9" s="59">
        <f t="shared" si="3"/>
        <v>47100</v>
      </c>
      <c r="G9" s="59">
        <f t="shared" si="3"/>
        <v>48100</v>
      </c>
      <c r="H9" s="59">
        <f t="shared" si="3"/>
        <v>49100</v>
      </c>
      <c r="I9" s="59">
        <f t="shared" si="3"/>
        <v>50100</v>
      </c>
      <c r="J9" s="19"/>
      <c r="K9" s="19"/>
      <c r="L9" s="19"/>
      <c r="M9" s="19"/>
      <c r="N9" s="19"/>
      <c r="O9" s="19"/>
    </row>
    <row r="10" spans="1:25" ht="16" customHeight="1" x14ac:dyDescent="0.45">
      <c r="A10" s="81" t="s">
        <v>39</v>
      </c>
      <c r="B10" s="27" t="s">
        <v>12</v>
      </c>
      <c r="C10" s="2">
        <v>68800</v>
      </c>
      <c r="D10" s="2">
        <f t="shared" ref="D10:G10" si="4">C10</f>
        <v>68800</v>
      </c>
      <c r="E10" s="2">
        <f t="shared" si="4"/>
        <v>68800</v>
      </c>
      <c r="F10" s="2">
        <f t="shared" si="4"/>
        <v>68800</v>
      </c>
      <c r="G10" s="2">
        <f t="shared" si="4"/>
        <v>68800</v>
      </c>
      <c r="H10" s="2">
        <f>G10</f>
        <v>68800</v>
      </c>
      <c r="I10" s="2">
        <f t="shared" ref="I10" si="5">H10</f>
        <v>68800</v>
      </c>
    </row>
    <row r="11" spans="1:25" x14ac:dyDescent="0.45">
      <c r="A11" s="82"/>
      <c r="B11" s="27" t="s">
        <v>11</v>
      </c>
      <c r="C11" s="2">
        <f t="shared" ref="C11:I11" si="6">C6</f>
        <v>15500</v>
      </c>
      <c r="D11" s="2">
        <f t="shared" si="6"/>
        <v>10500</v>
      </c>
      <c r="E11" s="2">
        <f t="shared" si="6"/>
        <v>8500</v>
      </c>
      <c r="F11" s="2">
        <f t="shared" si="6"/>
        <v>6500</v>
      </c>
      <c r="G11" s="2">
        <f t="shared" si="6"/>
        <v>5500</v>
      </c>
      <c r="H11" s="2">
        <f t="shared" si="6"/>
        <v>4500</v>
      </c>
      <c r="I11" s="2">
        <f t="shared" si="6"/>
        <v>3500</v>
      </c>
    </row>
    <row r="12" spans="1:25" x14ac:dyDescent="0.45">
      <c r="A12" s="82"/>
      <c r="B12" s="60" t="s">
        <v>44</v>
      </c>
      <c r="C12" s="61">
        <f>C7</f>
        <v>13500</v>
      </c>
      <c r="D12" s="61">
        <f>C12</f>
        <v>13500</v>
      </c>
      <c r="E12" s="61">
        <f t="shared" ref="E12:I12" si="7">D12</f>
        <v>13500</v>
      </c>
      <c r="F12" s="61">
        <f t="shared" si="7"/>
        <v>13500</v>
      </c>
      <c r="G12" s="61">
        <f t="shared" si="7"/>
        <v>13500</v>
      </c>
      <c r="H12" s="61">
        <f t="shared" si="7"/>
        <v>13500</v>
      </c>
      <c r="I12" s="61">
        <f t="shared" si="7"/>
        <v>13500</v>
      </c>
    </row>
    <row r="13" spans="1:25" x14ac:dyDescent="0.45">
      <c r="A13" s="82"/>
      <c r="B13" s="60" t="s">
        <v>47</v>
      </c>
      <c r="C13" s="61">
        <f>(((C10-C11)*0.95)*2)-C12*2</f>
        <v>74270</v>
      </c>
      <c r="D13" s="61">
        <f t="shared" ref="D13:I13" si="8">(((D10-D11)*0.95)*2)-D12*2</f>
        <v>83770</v>
      </c>
      <c r="E13" s="61">
        <f t="shared" si="8"/>
        <v>87570</v>
      </c>
      <c r="F13" s="61">
        <f t="shared" si="8"/>
        <v>91370</v>
      </c>
      <c r="G13" s="61">
        <f t="shared" si="8"/>
        <v>93270</v>
      </c>
      <c r="H13" s="61">
        <f t="shared" si="8"/>
        <v>95170</v>
      </c>
      <c r="I13" s="61">
        <f t="shared" si="8"/>
        <v>97070</v>
      </c>
    </row>
    <row r="14" spans="1:25" x14ac:dyDescent="0.45">
      <c r="A14" s="82"/>
      <c r="B14" s="60" t="s">
        <v>48</v>
      </c>
      <c r="C14" s="61">
        <f>(C10-C11)-C12</f>
        <v>39800</v>
      </c>
      <c r="D14" s="61">
        <f t="shared" ref="D14:I14" si="9">(D10-D11)-D12</f>
        <v>44800</v>
      </c>
      <c r="E14" s="61">
        <f t="shared" si="9"/>
        <v>46800</v>
      </c>
      <c r="F14" s="61">
        <f t="shared" si="9"/>
        <v>48800</v>
      </c>
      <c r="G14" s="61">
        <f t="shared" si="9"/>
        <v>49800</v>
      </c>
      <c r="H14" s="61">
        <f t="shared" si="9"/>
        <v>50800</v>
      </c>
      <c r="I14" s="61">
        <f t="shared" si="9"/>
        <v>51800</v>
      </c>
    </row>
    <row r="15" spans="1:25" x14ac:dyDescent="0.45">
      <c r="A15" s="81" t="s">
        <v>40</v>
      </c>
      <c r="B15" s="27" t="s">
        <v>12</v>
      </c>
      <c r="C15" s="2">
        <f>C10*1.05</f>
        <v>72240</v>
      </c>
      <c r="D15" s="2">
        <f t="shared" ref="D15:G15" si="10">C15</f>
        <v>72240</v>
      </c>
      <c r="E15" s="2">
        <f t="shared" si="10"/>
        <v>72240</v>
      </c>
      <c r="F15" s="2">
        <f t="shared" si="10"/>
        <v>72240</v>
      </c>
      <c r="G15" s="2">
        <f t="shared" si="10"/>
        <v>72240</v>
      </c>
      <c r="H15" s="2">
        <f>H10*1.05</f>
        <v>72240</v>
      </c>
      <c r="I15" s="2">
        <f t="shared" ref="I15" si="11">H15</f>
        <v>72240</v>
      </c>
    </row>
    <row r="16" spans="1:25" x14ac:dyDescent="0.45">
      <c r="A16" s="82"/>
      <c r="B16" s="27" t="s">
        <v>11</v>
      </c>
      <c r="C16" s="2">
        <f t="shared" ref="C16:I16" si="12">C11</f>
        <v>15500</v>
      </c>
      <c r="D16" s="2">
        <f t="shared" si="12"/>
        <v>10500</v>
      </c>
      <c r="E16" s="2">
        <f t="shared" si="12"/>
        <v>8500</v>
      </c>
      <c r="F16" s="2">
        <f t="shared" si="12"/>
        <v>6500</v>
      </c>
      <c r="G16" s="2">
        <f t="shared" si="12"/>
        <v>5500</v>
      </c>
      <c r="H16" s="2">
        <f t="shared" si="12"/>
        <v>4500</v>
      </c>
      <c r="I16" s="2">
        <f t="shared" si="12"/>
        <v>3500</v>
      </c>
    </row>
    <row r="17" spans="1:15" x14ac:dyDescent="0.45">
      <c r="A17" s="82"/>
      <c r="B17" s="62" t="s">
        <v>44</v>
      </c>
      <c r="C17" s="63">
        <f>C12</f>
        <v>13500</v>
      </c>
      <c r="D17" s="63">
        <f>C17</f>
        <v>13500</v>
      </c>
      <c r="E17" s="63">
        <f t="shared" ref="E17:I17" si="13">D17</f>
        <v>13500</v>
      </c>
      <c r="F17" s="63">
        <f t="shared" si="13"/>
        <v>13500</v>
      </c>
      <c r="G17" s="63">
        <f t="shared" si="13"/>
        <v>13500</v>
      </c>
      <c r="H17" s="63">
        <f t="shared" si="13"/>
        <v>13500</v>
      </c>
      <c r="I17" s="63">
        <f t="shared" si="13"/>
        <v>13500</v>
      </c>
    </row>
    <row r="18" spans="1:15" x14ac:dyDescent="0.45">
      <c r="A18" s="82"/>
      <c r="B18" s="62" t="s">
        <v>47</v>
      </c>
      <c r="C18" s="63">
        <f>(((C15-C16)*0.95)*2)-C17*2</f>
        <v>80806</v>
      </c>
      <c r="D18" s="63">
        <f t="shared" ref="D18:I18" si="14">(((D15-D16)*0.95)*2)-D17*2</f>
        <v>90306</v>
      </c>
      <c r="E18" s="63">
        <f t="shared" si="14"/>
        <v>94106</v>
      </c>
      <c r="F18" s="63">
        <f t="shared" si="14"/>
        <v>97906</v>
      </c>
      <c r="G18" s="63">
        <f t="shared" si="14"/>
        <v>99806</v>
      </c>
      <c r="H18" s="63">
        <f t="shared" si="14"/>
        <v>101706</v>
      </c>
      <c r="I18" s="63">
        <f t="shared" si="14"/>
        <v>103606</v>
      </c>
    </row>
    <row r="19" spans="1:15" x14ac:dyDescent="0.45">
      <c r="A19" s="82"/>
      <c r="B19" s="62" t="s">
        <v>48</v>
      </c>
      <c r="C19" s="63">
        <f>(C15-C16)-C17</f>
        <v>43240</v>
      </c>
      <c r="D19" s="63">
        <f t="shared" ref="D19:I19" si="15">(D15-D16)-D17</f>
        <v>48240</v>
      </c>
      <c r="E19" s="63">
        <f t="shared" si="15"/>
        <v>50240</v>
      </c>
      <c r="F19" s="63">
        <f t="shared" si="15"/>
        <v>52240</v>
      </c>
      <c r="G19" s="63">
        <f t="shared" si="15"/>
        <v>53240</v>
      </c>
      <c r="H19" s="63">
        <f t="shared" si="15"/>
        <v>54240</v>
      </c>
      <c r="I19" s="63">
        <f t="shared" si="15"/>
        <v>55240</v>
      </c>
    </row>
    <row r="20" spans="1:15" x14ac:dyDescent="0.45">
      <c r="A20" s="83" t="s">
        <v>13</v>
      </c>
      <c r="B20" s="83"/>
      <c r="C20" s="63">
        <f t="shared" ref="C20:I20" si="16">SUM(C8,C13,C18)</f>
        <v>226116</v>
      </c>
      <c r="D20" s="63">
        <f t="shared" si="16"/>
        <v>254616</v>
      </c>
      <c r="E20" s="63">
        <f t="shared" si="16"/>
        <v>266016</v>
      </c>
      <c r="F20" s="63">
        <f t="shared" si="16"/>
        <v>277416</v>
      </c>
      <c r="G20" s="63">
        <f t="shared" si="16"/>
        <v>283116</v>
      </c>
      <c r="H20" s="63">
        <f t="shared" si="16"/>
        <v>288816</v>
      </c>
      <c r="I20" s="63">
        <f t="shared" si="16"/>
        <v>294516</v>
      </c>
    </row>
    <row r="21" spans="1:15" x14ac:dyDescent="0.45">
      <c r="A21" s="108" t="s">
        <v>14</v>
      </c>
      <c r="B21" s="97"/>
      <c r="C21" s="97"/>
      <c r="D21" s="97"/>
      <c r="E21" s="97"/>
      <c r="F21" s="97"/>
      <c r="G21" s="97"/>
      <c r="H21" s="97"/>
      <c r="I21" s="97"/>
      <c r="J21" s="19"/>
      <c r="K21" s="19"/>
      <c r="L21" s="19"/>
      <c r="M21" s="19"/>
      <c r="N21" s="19"/>
      <c r="O21" s="19"/>
    </row>
    <row r="22" spans="1:15" ht="24" customHeight="1" x14ac:dyDescent="0.45">
      <c r="A22" s="81" t="s">
        <v>38</v>
      </c>
      <c r="B22" s="15" t="s">
        <v>15</v>
      </c>
      <c r="C22" s="2">
        <f>C5*0.75</f>
        <v>50325</v>
      </c>
      <c r="D22" s="2">
        <f t="shared" ref="D22:G22" si="17">C22</f>
        <v>50325</v>
      </c>
      <c r="E22" s="2">
        <f t="shared" si="17"/>
        <v>50325</v>
      </c>
      <c r="F22" s="2">
        <f t="shared" si="17"/>
        <v>50325</v>
      </c>
      <c r="G22" s="2">
        <f t="shared" si="17"/>
        <v>50325</v>
      </c>
      <c r="H22" s="2">
        <f>H5*0.75</f>
        <v>50325</v>
      </c>
      <c r="I22" s="2">
        <f t="shared" ref="I22" si="18">H22</f>
        <v>50325</v>
      </c>
    </row>
    <row r="23" spans="1:15" x14ac:dyDescent="0.45">
      <c r="A23" s="82"/>
      <c r="B23" s="15" t="s">
        <v>11</v>
      </c>
      <c r="C23" s="2">
        <v>15500</v>
      </c>
      <c r="D23" s="2">
        <v>10500</v>
      </c>
      <c r="E23" s="2">
        <v>8500</v>
      </c>
      <c r="F23" s="2">
        <v>6500</v>
      </c>
      <c r="G23" s="2">
        <v>5500</v>
      </c>
      <c r="H23" s="2">
        <v>4500</v>
      </c>
      <c r="I23" s="2">
        <v>3500</v>
      </c>
    </row>
    <row r="24" spans="1:15" x14ac:dyDescent="0.45">
      <c r="A24" s="82"/>
      <c r="B24" s="58" t="s">
        <v>47</v>
      </c>
      <c r="C24" s="59">
        <f>((C22-C23)*0.95)*2</f>
        <v>66167.5</v>
      </c>
      <c r="D24" s="59">
        <f t="shared" ref="D24:H24" si="19">((D22-D23)*0.95)*2</f>
        <v>75667.5</v>
      </c>
      <c r="E24" s="59">
        <f t="shared" si="19"/>
        <v>79467.5</v>
      </c>
      <c r="F24" s="59">
        <f t="shared" si="19"/>
        <v>83267.5</v>
      </c>
      <c r="G24" s="59">
        <f t="shared" si="19"/>
        <v>85167.5</v>
      </c>
      <c r="H24" s="59">
        <f t="shared" si="19"/>
        <v>87067.5</v>
      </c>
      <c r="I24" s="59">
        <f>((I22-I23)*0.95)*2</f>
        <v>88967.5</v>
      </c>
      <c r="J24" s="19"/>
      <c r="K24" s="19"/>
      <c r="L24" s="19"/>
      <c r="M24" s="19"/>
      <c r="N24" s="19"/>
      <c r="O24" s="19"/>
    </row>
    <row r="25" spans="1:15" x14ac:dyDescent="0.45">
      <c r="A25" s="82"/>
      <c r="B25" s="33" t="s">
        <v>48</v>
      </c>
      <c r="C25" s="59">
        <f>(C22-C23)</f>
        <v>34825</v>
      </c>
      <c r="D25" s="59">
        <f t="shared" ref="D25:I25" si="20">(D22-D23)</f>
        <v>39825</v>
      </c>
      <c r="E25" s="59">
        <f t="shared" si="20"/>
        <v>41825</v>
      </c>
      <c r="F25" s="59">
        <f t="shared" si="20"/>
        <v>43825</v>
      </c>
      <c r="G25" s="59">
        <f t="shared" si="20"/>
        <v>44825</v>
      </c>
      <c r="H25" s="59">
        <f t="shared" si="20"/>
        <v>45825</v>
      </c>
      <c r="I25" s="59">
        <f t="shared" si="20"/>
        <v>46825</v>
      </c>
      <c r="J25" s="19"/>
      <c r="K25" s="19"/>
      <c r="L25" s="19"/>
      <c r="M25" s="19"/>
      <c r="N25" s="19"/>
      <c r="O25" s="19"/>
    </row>
    <row r="26" spans="1:15" x14ac:dyDescent="0.45">
      <c r="A26" s="81" t="s">
        <v>39</v>
      </c>
      <c r="B26" s="15" t="s">
        <v>15</v>
      </c>
      <c r="C26" s="2">
        <f>C10*0.75</f>
        <v>51600</v>
      </c>
      <c r="D26" s="2">
        <f t="shared" ref="D26:G26" si="21">C26</f>
        <v>51600</v>
      </c>
      <c r="E26" s="2">
        <f t="shared" si="21"/>
        <v>51600</v>
      </c>
      <c r="F26" s="2">
        <f t="shared" si="21"/>
        <v>51600</v>
      </c>
      <c r="G26" s="2">
        <f t="shared" si="21"/>
        <v>51600</v>
      </c>
      <c r="H26" s="2">
        <f>G26</f>
        <v>51600</v>
      </c>
      <c r="I26" s="2">
        <f t="shared" ref="I26" si="22">H26</f>
        <v>51600</v>
      </c>
    </row>
    <row r="27" spans="1:15" x14ac:dyDescent="0.45">
      <c r="A27" s="82"/>
      <c r="B27" s="15" t="s">
        <v>11</v>
      </c>
      <c r="C27" s="2">
        <f t="shared" ref="C27:I27" si="23">C23</f>
        <v>15500</v>
      </c>
      <c r="D27" s="2">
        <f t="shared" si="23"/>
        <v>10500</v>
      </c>
      <c r="E27" s="2">
        <f t="shared" si="23"/>
        <v>8500</v>
      </c>
      <c r="F27" s="2">
        <f t="shared" si="23"/>
        <v>6500</v>
      </c>
      <c r="G27" s="2">
        <f t="shared" si="23"/>
        <v>5500</v>
      </c>
      <c r="H27" s="2">
        <f t="shared" si="23"/>
        <v>4500</v>
      </c>
      <c r="I27" s="2">
        <f t="shared" si="23"/>
        <v>3500</v>
      </c>
    </row>
    <row r="28" spans="1:15" x14ac:dyDescent="0.45">
      <c r="A28" s="82"/>
      <c r="B28" s="60" t="s">
        <v>47</v>
      </c>
      <c r="C28" s="61">
        <f>((C26-C27)*0.95)*2</f>
        <v>68590</v>
      </c>
      <c r="D28" s="61">
        <f t="shared" ref="D28:I28" si="24">((D26-D27)*0.95)*2</f>
        <v>78090</v>
      </c>
      <c r="E28" s="61">
        <f t="shared" si="24"/>
        <v>81890</v>
      </c>
      <c r="F28" s="61">
        <f t="shared" si="24"/>
        <v>85690</v>
      </c>
      <c r="G28" s="61">
        <f t="shared" si="24"/>
        <v>87590</v>
      </c>
      <c r="H28" s="61">
        <f t="shared" si="24"/>
        <v>89490</v>
      </c>
      <c r="I28" s="61">
        <f t="shared" si="24"/>
        <v>91390</v>
      </c>
    </row>
    <row r="29" spans="1:15" x14ac:dyDescent="0.45">
      <c r="A29" s="82"/>
      <c r="B29" s="31" t="s">
        <v>48</v>
      </c>
      <c r="C29" s="61">
        <f>(C26-C27)</f>
        <v>36100</v>
      </c>
      <c r="D29" s="61">
        <f t="shared" ref="D29:I29" si="25">(D26-D27)</f>
        <v>41100</v>
      </c>
      <c r="E29" s="61">
        <f t="shared" si="25"/>
        <v>43100</v>
      </c>
      <c r="F29" s="61">
        <f t="shared" si="25"/>
        <v>45100</v>
      </c>
      <c r="G29" s="61">
        <f t="shared" si="25"/>
        <v>46100</v>
      </c>
      <c r="H29" s="61">
        <f t="shared" si="25"/>
        <v>47100</v>
      </c>
      <c r="I29" s="61">
        <f t="shared" si="25"/>
        <v>48100</v>
      </c>
    </row>
    <row r="30" spans="1:15" x14ac:dyDescent="0.45">
      <c r="A30" s="81" t="s">
        <v>40</v>
      </c>
      <c r="B30" s="15" t="s">
        <v>15</v>
      </c>
      <c r="C30" s="2">
        <f>C26*1.05</f>
        <v>54180</v>
      </c>
      <c r="D30" s="2">
        <f t="shared" ref="D30:G30" si="26">C30</f>
        <v>54180</v>
      </c>
      <c r="E30" s="2">
        <f t="shared" si="26"/>
        <v>54180</v>
      </c>
      <c r="F30" s="2">
        <f t="shared" si="26"/>
        <v>54180</v>
      </c>
      <c r="G30" s="2">
        <f t="shared" si="26"/>
        <v>54180</v>
      </c>
      <c r="H30" s="2">
        <f>H26*1.05</f>
        <v>54180</v>
      </c>
      <c r="I30" s="2">
        <f t="shared" ref="I30" si="27">H30</f>
        <v>54180</v>
      </c>
    </row>
    <row r="31" spans="1:15" x14ac:dyDescent="0.45">
      <c r="A31" s="82"/>
      <c r="B31" s="15" t="s">
        <v>11</v>
      </c>
      <c r="C31" s="2">
        <f t="shared" ref="C31:I31" si="28">C27</f>
        <v>15500</v>
      </c>
      <c r="D31" s="2">
        <f t="shared" si="28"/>
        <v>10500</v>
      </c>
      <c r="E31" s="2">
        <f t="shared" si="28"/>
        <v>8500</v>
      </c>
      <c r="F31" s="2">
        <f t="shared" si="28"/>
        <v>6500</v>
      </c>
      <c r="G31" s="2">
        <f t="shared" si="28"/>
        <v>5500</v>
      </c>
      <c r="H31" s="2">
        <f t="shared" si="28"/>
        <v>4500</v>
      </c>
      <c r="I31" s="2">
        <f t="shared" si="28"/>
        <v>3500</v>
      </c>
    </row>
    <row r="32" spans="1:15" x14ac:dyDescent="0.45">
      <c r="A32" s="82"/>
      <c r="B32" s="62" t="s">
        <v>47</v>
      </c>
      <c r="C32" s="63">
        <f>((C30-C31)*0.95)*2</f>
        <v>73492</v>
      </c>
      <c r="D32" s="63">
        <f t="shared" ref="D32:I32" si="29">((D30-D31)*0.95)*2</f>
        <v>82992</v>
      </c>
      <c r="E32" s="63">
        <f t="shared" si="29"/>
        <v>86792</v>
      </c>
      <c r="F32" s="63">
        <f t="shared" si="29"/>
        <v>90592</v>
      </c>
      <c r="G32" s="63">
        <f t="shared" si="29"/>
        <v>92492</v>
      </c>
      <c r="H32" s="63">
        <f t="shared" si="29"/>
        <v>94392</v>
      </c>
      <c r="I32" s="63">
        <f t="shared" si="29"/>
        <v>96292</v>
      </c>
    </row>
    <row r="33" spans="1:9" x14ac:dyDescent="0.45">
      <c r="A33" s="82"/>
      <c r="B33" s="32" t="s">
        <v>48</v>
      </c>
      <c r="C33" s="63">
        <f>(C30-C31)</f>
        <v>38680</v>
      </c>
      <c r="D33" s="63">
        <f t="shared" ref="D33:I33" si="30">(D30-D31)</f>
        <v>43680</v>
      </c>
      <c r="E33" s="63">
        <f t="shared" si="30"/>
        <v>45680</v>
      </c>
      <c r="F33" s="63">
        <f t="shared" si="30"/>
        <v>47680</v>
      </c>
      <c r="G33" s="63">
        <f t="shared" si="30"/>
        <v>48680</v>
      </c>
      <c r="H33" s="63">
        <f t="shared" si="30"/>
        <v>49680</v>
      </c>
      <c r="I33" s="63">
        <f t="shared" si="30"/>
        <v>50680</v>
      </c>
    </row>
    <row r="34" spans="1:9" x14ac:dyDescent="0.45">
      <c r="A34" s="83" t="s">
        <v>13</v>
      </c>
      <c r="B34" s="83"/>
      <c r="C34" s="63">
        <f t="shared" ref="C34:I34" si="31">SUM(C24,C28,C32)</f>
        <v>208249.5</v>
      </c>
      <c r="D34" s="63">
        <f t="shared" si="31"/>
        <v>236749.5</v>
      </c>
      <c r="E34" s="63">
        <f t="shared" si="31"/>
        <v>248149.5</v>
      </c>
      <c r="F34" s="63">
        <f t="shared" si="31"/>
        <v>259549.5</v>
      </c>
      <c r="G34" s="63">
        <f t="shared" si="31"/>
        <v>265249.5</v>
      </c>
      <c r="H34" s="63">
        <f t="shared" si="31"/>
        <v>270949.5</v>
      </c>
      <c r="I34" s="63">
        <f t="shared" si="31"/>
        <v>276649.5</v>
      </c>
    </row>
    <row r="35" spans="1:9" ht="16" customHeight="1" x14ac:dyDescent="0.45">
      <c r="A35" s="84" t="s">
        <v>16</v>
      </c>
      <c r="B35" s="84"/>
      <c r="C35" s="84"/>
      <c r="D35" s="84"/>
      <c r="E35" s="84"/>
      <c r="F35" s="84"/>
      <c r="G35" s="84"/>
      <c r="H35" s="84"/>
      <c r="I35" s="84"/>
    </row>
    <row r="36" spans="1:9" ht="16" customHeight="1" x14ac:dyDescent="0.45">
      <c r="A36" s="84"/>
      <c r="B36" s="84"/>
      <c r="C36" s="84"/>
      <c r="D36" s="84"/>
      <c r="E36" s="84"/>
      <c r="F36" s="84"/>
      <c r="G36" s="84"/>
      <c r="H36" s="84"/>
      <c r="I36" s="84"/>
    </row>
    <row r="37" spans="1:9" ht="17.149999999999999" customHeight="1" x14ac:dyDescent="0.45">
      <c r="A37" s="84"/>
      <c r="B37" s="84"/>
      <c r="C37" s="84"/>
      <c r="D37" s="84"/>
      <c r="E37" s="84"/>
      <c r="F37" s="84"/>
      <c r="G37" s="84"/>
      <c r="H37" s="84"/>
      <c r="I37" s="84"/>
    </row>
    <row r="38" spans="1:9" x14ac:dyDescent="0.45">
      <c r="A38" s="85" t="s">
        <v>17</v>
      </c>
      <c r="B38" s="85"/>
      <c r="C38" s="86" t="s">
        <v>18</v>
      </c>
      <c r="D38" s="86"/>
      <c r="E38" s="7">
        <v>5000</v>
      </c>
      <c r="F38" s="57"/>
      <c r="G38" s="65"/>
      <c r="H38" s="56"/>
      <c r="I38" s="56"/>
    </row>
    <row r="39" spans="1:9" ht="16" customHeight="1" x14ac:dyDescent="0.45">
      <c r="A39" s="85"/>
      <c r="B39" s="85"/>
      <c r="C39" s="86" t="s">
        <v>19</v>
      </c>
      <c r="D39" s="86"/>
      <c r="E39" s="7">
        <v>3000</v>
      </c>
      <c r="F39" s="57"/>
      <c r="G39" s="65"/>
      <c r="H39" s="56"/>
      <c r="I39" s="56"/>
    </row>
    <row r="40" spans="1:9" ht="16" customHeight="1" x14ac:dyDescent="0.45">
      <c r="A40" s="85"/>
      <c r="B40" s="85"/>
      <c r="C40" s="87" t="s">
        <v>20</v>
      </c>
      <c r="D40" s="87"/>
      <c r="E40" s="7">
        <v>3000</v>
      </c>
      <c r="F40" s="66"/>
      <c r="G40" s="67"/>
      <c r="H40" s="56"/>
      <c r="I40" s="56"/>
    </row>
    <row r="41" spans="1:9" ht="33" customHeight="1" x14ac:dyDescent="0.45">
      <c r="A41" s="20" t="s">
        <v>21</v>
      </c>
      <c r="B41" s="20" t="s">
        <v>22</v>
      </c>
      <c r="C41" s="21" t="s">
        <v>23</v>
      </c>
      <c r="D41" s="21" t="s">
        <v>24</v>
      </c>
      <c r="E41" s="21" t="s">
        <v>25</v>
      </c>
      <c r="F41" s="21" t="s">
        <v>26</v>
      </c>
      <c r="G41" s="20" t="s">
        <v>27</v>
      </c>
      <c r="H41" s="20" t="s">
        <v>28</v>
      </c>
      <c r="I41" s="20" t="s">
        <v>29</v>
      </c>
    </row>
    <row r="42" spans="1:9" ht="14.5" customHeight="1" x14ac:dyDescent="0.45">
      <c r="A42" s="16" t="s">
        <v>30</v>
      </c>
      <c r="B42" s="7">
        <f>B43*2</f>
        <v>7000</v>
      </c>
      <c r="C42" s="7">
        <f t="shared" ref="C42:H42" si="32">C43*2</f>
        <v>5000</v>
      </c>
      <c r="D42" s="7">
        <v>1000</v>
      </c>
      <c r="E42" s="7">
        <f t="shared" si="32"/>
        <v>1500</v>
      </c>
      <c r="F42" s="7">
        <f t="shared" si="32"/>
        <v>1000</v>
      </c>
      <c r="G42" s="7">
        <f t="shared" si="32"/>
        <v>1000</v>
      </c>
      <c r="H42" s="7">
        <f t="shared" si="32"/>
        <v>2000</v>
      </c>
      <c r="I42" s="7">
        <f>SUM(B42:H42)</f>
        <v>18500</v>
      </c>
    </row>
    <row r="43" spans="1:9" ht="14.5" customHeight="1" x14ac:dyDescent="0.45">
      <c r="A43" s="16" t="s">
        <v>31</v>
      </c>
      <c r="B43" s="7">
        <v>3500</v>
      </c>
      <c r="C43" s="7">
        <v>2500</v>
      </c>
      <c r="D43" s="22">
        <v>1000</v>
      </c>
      <c r="E43" s="22">
        <v>750</v>
      </c>
      <c r="F43" s="22">
        <v>500</v>
      </c>
      <c r="G43" s="7">
        <v>500</v>
      </c>
      <c r="H43" s="7">
        <v>1000</v>
      </c>
      <c r="I43" s="7">
        <f>SUM(B43:H43)</f>
        <v>9750</v>
      </c>
    </row>
    <row r="44" spans="1:9" ht="15" customHeight="1" x14ac:dyDescent="0.45">
      <c r="A44" s="92" t="s">
        <v>72</v>
      </c>
      <c r="B44" s="92"/>
      <c r="C44" s="92"/>
      <c r="D44" s="92"/>
      <c r="E44" s="92"/>
      <c r="F44" s="92"/>
      <c r="G44" s="92"/>
      <c r="H44" s="92"/>
      <c r="I44" s="92"/>
    </row>
    <row r="45" spans="1:9" ht="24" customHeight="1" x14ac:dyDescent="0.45">
      <c r="A45" s="91" t="s">
        <v>45</v>
      </c>
      <c r="B45" s="91"/>
      <c r="C45" s="91"/>
      <c r="D45" s="91"/>
      <c r="E45" s="91"/>
      <c r="F45" s="91"/>
      <c r="G45" s="91"/>
      <c r="H45" s="91"/>
      <c r="I45" s="91"/>
    </row>
    <row r="46" spans="1:9" ht="22" customHeight="1" x14ac:dyDescent="0.45">
      <c r="A46" s="91" t="s">
        <v>46</v>
      </c>
      <c r="B46" s="91"/>
      <c r="C46" s="91"/>
      <c r="D46" s="91"/>
      <c r="E46" s="91"/>
      <c r="F46" s="91"/>
      <c r="G46" s="91"/>
      <c r="H46" s="91"/>
      <c r="I46" s="91"/>
    </row>
    <row r="47" spans="1:9" ht="34" customHeight="1" x14ac:dyDescent="0.45">
      <c r="A47" s="92" t="s">
        <v>43</v>
      </c>
      <c r="B47" s="92"/>
      <c r="C47" s="92"/>
      <c r="D47" s="92"/>
      <c r="E47" s="92"/>
      <c r="F47" s="92"/>
      <c r="G47" s="92"/>
      <c r="H47" s="92"/>
      <c r="I47" s="92"/>
    </row>
    <row r="48" spans="1:9" x14ac:dyDescent="0.45">
      <c r="A48" s="91" t="s">
        <v>32</v>
      </c>
      <c r="B48" s="91"/>
      <c r="C48" s="91"/>
      <c r="D48" s="91"/>
      <c r="E48" s="91"/>
      <c r="F48" s="91"/>
      <c r="G48" s="91"/>
      <c r="H48" s="91"/>
      <c r="I48" s="91"/>
    </row>
    <row r="49" spans="1:9" ht="28" customHeight="1" x14ac:dyDescent="0.45">
      <c r="A49" s="96" t="s">
        <v>83</v>
      </c>
      <c r="B49" s="96"/>
      <c r="C49" s="96"/>
      <c r="D49" s="96"/>
      <c r="E49" s="96"/>
      <c r="F49" s="96"/>
      <c r="G49" s="96"/>
      <c r="H49" s="96"/>
      <c r="I49" s="96"/>
    </row>
    <row r="50" spans="1:9" ht="13.5" customHeight="1" x14ac:dyDescent="0.45">
      <c r="A50" s="73" t="s">
        <v>9</v>
      </c>
      <c r="B50" s="74"/>
      <c r="C50" s="74"/>
      <c r="D50" s="74"/>
      <c r="E50" s="74"/>
      <c r="F50" s="74"/>
      <c r="G50" s="74"/>
      <c r="H50" s="74"/>
      <c r="I50" s="88"/>
    </row>
    <row r="52" spans="1:9" ht="28.75" customHeight="1" x14ac:dyDescent="0.45"/>
    <row r="53" spans="1:9" ht="39" customHeight="1" x14ac:dyDescent="0.45"/>
  </sheetData>
  <mergeCells count="24">
    <mergeCell ref="A1:I1"/>
    <mergeCell ref="A2:I2"/>
    <mergeCell ref="A46:I46"/>
    <mergeCell ref="A47:I47"/>
    <mergeCell ref="A48:I48"/>
    <mergeCell ref="A35:I37"/>
    <mergeCell ref="A5:A9"/>
    <mergeCell ref="A10:A14"/>
    <mergeCell ref="A15:A19"/>
    <mergeCell ref="A20:B20"/>
    <mergeCell ref="A22:A25"/>
    <mergeCell ref="A26:A29"/>
    <mergeCell ref="A30:A33"/>
    <mergeCell ref="A34:B34"/>
    <mergeCell ref="A4:I4"/>
    <mergeCell ref="A21:I21"/>
    <mergeCell ref="A50:I50"/>
    <mergeCell ref="A49:I49"/>
    <mergeCell ref="A38:B40"/>
    <mergeCell ref="C38:D38"/>
    <mergeCell ref="C39:D39"/>
    <mergeCell ref="C40:D40"/>
    <mergeCell ref="A45:I45"/>
    <mergeCell ref="A44:I44"/>
  </mergeCells>
  <pageMargins left="0.7" right="0.7" top="0.75" bottom="0.75" header="0.3" footer="0.3"/>
  <pageSetup paperSize="9" scale="4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61"/>
  <sheetViews>
    <sheetView zoomScale="63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25" x14ac:dyDescent="0.45">
      <c r="A1" s="71" t="s">
        <v>107</v>
      </c>
      <c r="B1" s="71"/>
      <c r="C1" s="71"/>
      <c r="D1" s="71"/>
      <c r="E1" s="71"/>
      <c r="F1" s="71"/>
      <c r="G1" s="71"/>
      <c r="H1" s="71"/>
      <c r="I1" s="71"/>
    </row>
    <row r="2" spans="1:25" ht="89.15" customHeight="1" x14ac:dyDescent="0.45">
      <c r="A2" s="109" t="s">
        <v>108</v>
      </c>
      <c r="B2" s="110"/>
      <c r="C2" s="110"/>
      <c r="D2" s="110"/>
      <c r="E2" s="110"/>
      <c r="F2" s="110"/>
      <c r="G2" s="110"/>
      <c r="H2" s="110"/>
      <c r="I2" s="110"/>
    </row>
    <row r="3" spans="1:25" ht="64" customHeight="1" thickBot="1" x14ac:dyDescent="0.5">
      <c r="A3" s="47" t="s">
        <v>1</v>
      </c>
      <c r="B3" s="44" t="s">
        <v>2</v>
      </c>
      <c r="C3" s="48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25" ht="16.3" thickBot="1" x14ac:dyDescent="0.5">
      <c r="A4" s="111" t="s">
        <v>0</v>
      </c>
      <c r="B4" s="111"/>
      <c r="C4" s="111"/>
      <c r="D4" s="111"/>
      <c r="E4" s="111"/>
      <c r="F4" s="111"/>
      <c r="G4" s="111"/>
      <c r="H4" s="111"/>
      <c r="I4" s="111"/>
    </row>
    <row r="5" spans="1:25" x14ac:dyDescent="0.45">
      <c r="A5" s="114" t="s">
        <v>38</v>
      </c>
      <c r="B5" s="46" t="s">
        <v>10</v>
      </c>
      <c r="C5" s="2">
        <v>67100</v>
      </c>
      <c r="D5" s="2">
        <f>C5</f>
        <v>67100</v>
      </c>
      <c r="E5" s="2">
        <f t="shared" ref="E5:G5" si="0">D5</f>
        <v>67100</v>
      </c>
      <c r="F5" s="3">
        <f t="shared" si="0"/>
        <v>67100</v>
      </c>
      <c r="G5" s="3">
        <f t="shared" si="0"/>
        <v>67100</v>
      </c>
      <c r="H5" s="3">
        <f>G5</f>
        <v>67100</v>
      </c>
      <c r="I5" s="3">
        <f>H5</f>
        <v>67100</v>
      </c>
      <c r="J5" s="19"/>
      <c r="K5" s="19"/>
      <c r="L5" s="19"/>
      <c r="M5" s="19"/>
      <c r="N5" s="19"/>
    </row>
    <row r="6" spans="1:25" x14ac:dyDescent="0.45">
      <c r="A6" s="115"/>
      <c r="B6" s="27" t="s">
        <v>11</v>
      </c>
      <c r="C6" s="2">
        <v>15500</v>
      </c>
      <c r="D6" s="2">
        <v>10500</v>
      </c>
      <c r="E6" s="2">
        <v>8500</v>
      </c>
      <c r="F6" s="3">
        <v>6500</v>
      </c>
      <c r="G6" s="3">
        <v>5500</v>
      </c>
      <c r="H6" s="3">
        <v>4500</v>
      </c>
      <c r="I6" s="3">
        <v>3500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45">
      <c r="A7" s="115"/>
      <c r="B7" s="28" t="s">
        <v>44</v>
      </c>
      <c r="C7" s="24">
        <v>13500</v>
      </c>
      <c r="D7" s="24">
        <f>C7</f>
        <v>13500</v>
      </c>
      <c r="E7" s="24">
        <f t="shared" ref="E7:I7" si="1">D7</f>
        <v>13500</v>
      </c>
      <c r="F7" s="24">
        <f t="shared" si="1"/>
        <v>13500</v>
      </c>
      <c r="G7" s="24">
        <f t="shared" si="1"/>
        <v>13500</v>
      </c>
      <c r="H7" s="24">
        <f t="shared" si="1"/>
        <v>13500</v>
      </c>
      <c r="I7" s="24">
        <f t="shared" si="1"/>
        <v>13500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45">
      <c r="A8" s="115"/>
      <c r="B8" s="28" t="s">
        <v>47</v>
      </c>
      <c r="C8" s="24">
        <f>(((C5-C6)*0.95)*2)-C7*2</f>
        <v>71040</v>
      </c>
      <c r="D8" s="24">
        <f t="shared" ref="D8:I8" si="2">(((D5-D6)*0.95)*2)-D7*2</f>
        <v>80540</v>
      </c>
      <c r="E8" s="24">
        <f t="shared" si="2"/>
        <v>84340</v>
      </c>
      <c r="F8" s="24">
        <f t="shared" si="2"/>
        <v>88140</v>
      </c>
      <c r="G8" s="24">
        <f t="shared" si="2"/>
        <v>90040</v>
      </c>
      <c r="H8" s="24">
        <f t="shared" si="2"/>
        <v>91940</v>
      </c>
      <c r="I8" s="24">
        <f t="shared" si="2"/>
        <v>93840</v>
      </c>
      <c r="J8" s="19"/>
      <c r="K8" s="19"/>
      <c r="L8" s="19"/>
      <c r="M8" s="19"/>
      <c r="N8" s="19"/>
    </row>
    <row r="9" spans="1:25" ht="16.3" thickBot="1" x14ac:dyDescent="0.5">
      <c r="A9" s="115"/>
      <c r="B9" s="28" t="s">
        <v>48</v>
      </c>
      <c r="C9" s="24">
        <f>(C5-C6)-C7</f>
        <v>38100</v>
      </c>
      <c r="D9" s="24">
        <f t="shared" ref="D9:I9" si="3">(D5-D6)-D7</f>
        <v>43100</v>
      </c>
      <c r="E9" s="24">
        <f t="shared" si="3"/>
        <v>45100</v>
      </c>
      <c r="F9" s="24">
        <f t="shared" si="3"/>
        <v>47100</v>
      </c>
      <c r="G9" s="24">
        <f t="shared" si="3"/>
        <v>48100</v>
      </c>
      <c r="H9" s="24">
        <f t="shared" si="3"/>
        <v>49100</v>
      </c>
      <c r="I9" s="24">
        <f t="shared" si="3"/>
        <v>50100</v>
      </c>
      <c r="J9" s="19"/>
      <c r="K9" s="19"/>
      <c r="L9" s="19"/>
      <c r="M9" s="19"/>
      <c r="N9" s="19"/>
      <c r="O9" s="19"/>
    </row>
    <row r="10" spans="1:25" ht="16" customHeight="1" x14ac:dyDescent="0.45">
      <c r="A10" s="114" t="s">
        <v>39</v>
      </c>
      <c r="B10" s="27" t="s">
        <v>12</v>
      </c>
      <c r="C10" s="2">
        <v>68800</v>
      </c>
      <c r="D10" s="2">
        <f t="shared" ref="D10:G10" si="4">C10</f>
        <v>68800</v>
      </c>
      <c r="E10" s="2">
        <f t="shared" si="4"/>
        <v>68800</v>
      </c>
      <c r="F10" s="3">
        <f t="shared" si="4"/>
        <v>68800</v>
      </c>
      <c r="G10" s="3">
        <f t="shared" si="4"/>
        <v>68800</v>
      </c>
      <c r="H10" s="3">
        <f>G10</f>
        <v>68800</v>
      </c>
      <c r="I10" s="3">
        <f t="shared" ref="I10" si="5">H10</f>
        <v>68800</v>
      </c>
    </row>
    <row r="11" spans="1:25" x14ac:dyDescent="0.45">
      <c r="A11" s="115"/>
      <c r="B11" s="27" t="s">
        <v>11</v>
      </c>
      <c r="C11" s="2">
        <f t="shared" ref="C11:I11" si="6">C6</f>
        <v>15500</v>
      </c>
      <c r="D11" s="2">
        <f t="shared" si="6"/>
        <v>10500</v>
      </c>
      <c r="E11" s="2">
        <f t="shared" si="6"/>
        <v>8500</v>
      </c>
      <c r="F11" s="3">
        <f t="shared" si="6"/>
        <v>6500</v>
      </c>
      <c r="G11" s="3">
        <f t="shared" si="6"/>
        <v>5500</v>
      </c>
      <c r="H11" s="3">
        <f t="shared" si="6"/>
        <v>4500</v>
      </c>
      <c r="I11" s="3">
        <f t="shared" si="6"/>
        <v>3500</v>
      </c>
    </row>
    <row r="12" spans="1:25" x14ac:dyDescent="0.45">
      <c r="A12" s="115"/>
      <c r="B12" s="29" t="s">
        <v>44</v>
      </c>
      <c r="C12" s="25">
        <f>C7</f>
        <v>13500</v>
      </c>
      <c r="D12" s="25">
        <f>C12</f>
        <v>13500</v>
      </c>
      <c r="E12" s="25">
        <f t="shared" ref="E12:I12" si="7">D12</f>
        <v>13500</v>
      </c>
      <c r="F12" s="25">
        <f t="shared" si="7"/>
        <v>13500</v>
      </c>
      <c r="G12" s="25">
        <f t="shared" si="7"/>
        <v>13500</v>
      </c>
      <c r="H12" s="25">
        <f t="shared" si="7"/>
        <v>13500</v>
      </c>
      <c r="I12" s="25">
        <f t="shared" si="7"/>
        <v>13500</v>
      </c>
    </row>
    <row r="13" spans="1:25" x14ac:dyDescent="0.45">
      <c r="A13" s="115"/>
      <c r="B13" s="29" t="s">
        <v>47</v>
      </c>
      <c r="C13" s="25">
        <f>(((C10-C11)*0.95)*2)-C12*2</f>
        <v>74270</v>
      </c>
      <c r="D13" s="25">
        <f t="shared" ref="D13:I13" si="8">(((D10-D11)*0.95)*2)-D12*2</f>
        <v>83770</v>
      </c>
      <c r="E13" s="25">
        <f t="shared" si="8"/>
        <v>87570</v>
      </c>
      <c r="F13" s="25">
        <f t="shared" si="8"/>
        <v>91370</v>
      </c>
      <c r="G13" s="25">
        <f t="shared" si="8"/>
        <v>93270</v>
      </c>
      <c r="H13" s="25">
        <f t="shared" si="8"/>
        <v>95170</v>
      </c>
      <c r="I13" s="25">
        <f t="shared" si="8"/>
        <v>97070</v>
      </c>
    </row>
    <row r="14" spans="1:25" ht="16.3" thickBot="1" x14ac:dyDescent="0.5">
      <c r="A14" s="115"/>
      <c r="B14" s="29" t="s">
        <v>48</v>
      </c>
      <c r="C14" s="25">
        <f>(C10-C11)-C12</f>
        <v>39800</v>
      </c>
      <c r="D14" s="25">
        <f t="shared" ref="D14:I14" si="9">(D10-D11)-D12</f>
        <v>44800</v>
      </c>
      <c r="E14" s="25">
        <f t="shared" si="9"/>
        <v>46800</v>
      </c>
      <c r="F14" s="25">
        <f t="shared" si="9"/>
        <v>48800</v>
      </c>
      <c r="G14" s="25">
        <f t="shared" si="9"/>
        <v>49800</v>
      </c>
      <c r="H14" s="25">
        <f t="shared" si="9"/>
        <v>50800</v>
      </c>
      <c r="I14" s="25">
        <f t="shared" si="9"/>
        <v>51800</v>
      </c>
    </row>
    <row r="15" spans="1:25" x14ac:dyDescent="0.45">
      <c r="A15" s="114" t="s">
        <v>40</v>
      </c>
      <c r="B15" s="27" t="s">
        <v>12</v>
      </c>
      <c r="C15" s="2">
        <f>C10*1.05</f>
        <v>72240</v>
      </c>
      <c r="D15" s="2">
        <f t="shared" ref="D15:G15" si="10">C15</f>
        <v>72240</v>
      </c>
      <c r="E15" s="2">
        <f t="shared" si="10"/>
        <v>72240</v>
      </c>
      <c r="F15" s="3">
        <f t="shared" si="10"/>
        <v>72240</v>
      </c>
      <c r="G15" s="3">
        <f t="shared" si="10"/>
        <v>72240</v>
      </c>
      <c r="H15" s="3">
        <f>H10*1.05</f>
        <v>72240</v>
      </c>
      <c r="I15" s="3">
        <f t="shared" ref="I15" si="11">H15</f>
        <v>72240</v>
      </c>
    </row>
    <row r="16" spans="1:25" x14ac:dyDescent="0.45">
      <c r="A16" s="115"/>
      <c r="B16" s="27" t="s">
        <v>11</v>
      </c>
      <c r="C16" s="2">
        <f t="shared" ref="C16:I16" si="12">C11</f>
        <v>15500</v>
      </c>
      <c r="D16" s="2">
        <f t="shared" si="12"/>
        <v>10500</v>
      </c>
      <c r="E16" s="2">
        <f t="shared" si="12"/>
        <v>8500</v>
      </c>
      <c r="F16" s="3">
        <f t="shared" si="12"/>
        <v>6500</v>
      </c>
      <c r="G16" s="3">
        <f t="shared" si="12"/>
        <v>5500</v>
      </c>
      <c r="H16" s="3">
        <f t="shared" si="12"/>
        <v>4500</v>
      </c>
      <c r="I16" s="3">
        <f t="shared" si="12"/>
        <v>3500</v>
      </c>
    </row>
    <row r="17" spans="1:15" x14ac:dyDescent="0.45">
      <c r="A17" s="115"/>
      <c r="B17" s="30" t="s">
        <v>44</v>
      </c>
      <c r="C17" s="26">
        <f>C12</f>
        <v>13500</v>
      </c>
      <c r="D17" s="26">
        <f>C17</f>
        <v>13500</v>
      </c>
      <c r="E17" s="26">
        <f t="shared" ref="E17:I17" si="13">D17</f>
        <v>13500</v>
      </c>
      <c r="F17" s="26">
        <f t="shared" si="13"/>
        <v>13500</v>
      </c>
      <c r="G17" s="26">
        <f t="shared" si="13"/>
        <v>13500</v>
      </c>
      <c r="H17" s="26">
        <f t="shared" si="13"/>
        <v>13500</v>
      </c>
      <c r="I17" s="26">
        <f t="shared" si="13"/>
        <v>13500</v>
      </c>
    </row>
    <row r="18" spans="1:15" x14ac:dyDescent="0.45">
      <c r="A18" s="115"/>
      <c r="B18" s="30" t="s">
        <v>47</v>
      </c>
      <c r="C18" s="26">
        <f>(((C15-C16)*0.95)*2)-C17*2</f>
        <v>80806</v>
      </c>
      <c r="D18" s="26">
        <f t="shared" ref="D18:I18" si="14">(((D15-D16)*0.95)*2)-D17*2</f>
        <v>90306</v>
      </c>
      <c r="E18" s="26">
        <f t="shared" si="14"/>
        <v>94106</v>
      </c>
      <c r="F18" s="26">
        <f t="shared" si="14"/>
        <v>97906</v>
      </c>
      <c r="G18" s="26">
        <f t="shared" si="14"/>
        <v>99806</v>
      </c>
      <c r="H18" s="26">
        <f t="shared" si="14"/>
        <v>101706</v>
      </c>
      <c r="I18" s="26">
        <f t="shared" si="14"/>
        <v>103606</v>
      </c>
    </row>
    <row r="19" spans="1:15" ht="16.3" thickBot="1" x14ac:dyDescent="0.5">
      <c r="A19" s="115"/>
      <c r="B19" s="30" t="s">
        <v>48</v>
      </c>
      <c r="C19" s="26">
        <f>(C15-C16)-C17</f>
        <v>43240</v>
      </c>
      <c r="D19" s="26">
        <f t="shared" ref="D19:H19" si="15">(D15-D16)-D17</f>
        <v>48240</v>
      </c>
      <c r="E19" s="26">
        <f t="shared" si="15"/>
        <v>50240</v>
      </c>
      <c r="F19" s="26">
        <f t="shared" si="15"/>
        <v>52240</v>
      </c>
      <c r="G19" s="26">
        <f t="shared" si="15"/>
        <v>53240</v>
      </c>
      <c r="H19" s="26">
        <f t="shared" si="15"/>
        <v>54240</v>
      </c>
      <c r="I19" s="26">
        <f>(I15-I16)-I17</f>
        <v>55240</v>
      </c>
    </row>
    <row r="20" spans="1:15" x14ac:dyDescent="0.45">
      <c r="A20" s="114" t="s">
        <v>41</v>
      </c>
      <c r="B20" s="27" t="s">
        <v>12</v>
      </c>
      <c r="C20" s="2">
        <f>C15*1.05</f>
        <v>75852</v>
      </c>
      <c r="D20" s="2">
        <f t="shared" ref="D20" si="16">C20</f>
        <v>75852</v>
      </c>
      <c r="E20" s="2">
        <f t="shared" ref="E20" si="17">D20</f>
        <v>75852</v>
      </c>
      <c r="F20" s="3">
        <f t="shared" ref="F20" si="18">E20</f>
        <v>75852</v>
      </c>
      <c r="G20" s="3">
        <f t="shared" ref="G20" si="19">F20</f>
        <v>75852</v>
      </c>
      <c r="H20" s="3">
        <f>H15*1.05</f>
        <v>75852</v>
      </c>
      <c r="I20" s="3">
        <f t="shared" ref="I20" si="20">H20</f>
        <v>75852</v>
      </c>
    </row>
    <row r="21" spans="1:15" x14ac:dyDescent="0.45">
      <c r="A21" s="115"/>
      <c r="B21" s="27" t="s">
        <v>11</v>
      </c>
      <c r="C21" s="2">
        <f t="shared" ref="C21:I21" si="21">C16</f>
        <v>15500</v>
      </c>
      <c r="D21" s="2">
        <f t="shared" si="21"/>
        <v>10500</v>
      </c>
      <c r="E21" s="2">
        <f t="shared" si="21"/>
        <v>8500</v>
      </c>
      <c r="F21" s="3">
        <f t="shared" si="21"/>
        <v>6500</v>
      </c>
      <c r="G21" s="3">
        <f t="shared" si="21"/>
        <v>5500</v>
      </c>
      <c r="H21" s="3">
        <f t="shared" si="21"/>
        <v>4500</v>
      </c>
      <c r="I21" s="3">
        <f t="shared" si="21"/>
        <v>3500</v>
      </c>
    </row>
    <row r="22" spans="1:15" x14ac:dyDescent="0.45">
      <c r="A22" s="115"/>
      <c r="B22" s="30" t="s">
        <v>44</v>
      </c>
      <c r="C22" s="26">
        <f>C17</f>
        <v>13500</v>
      </c>
      <c r="D22" s="26">
        <f>C22</f>
        <v>13500</v>
      </c>
      <c r="E22" s="26">
        <f t="shared" ref="E22" si="22">D22</f>
        <v>13500</v>
      </c>
      <c r="F22" s="26">
        <f t="shared" ref="F22" si="23">E22</f>
        <v>13500</v>
      </c>
      <c r="G22" s="26">
        <f t="shared" ref="G22" si="24">F22</f>
        <v>13500</v>
      </c>
      <c r="H22" s="26">
        <f t="shared" ref="H22" si="25">G22</f>
        <v>13500</v>
      </c>
      <c r="I22" s="26">
        <f t="shared" ref="I22" si="26">H22</f>
        <v>13500</v>
      </c>
    </row>
    <row r="23" spans="1:15" x14ac:dyDescent="0.45">
      <c r="A23" s="115"/>
      <c r="B23" s="30" t="s">
        <v>47</v>
      </c>
      <c r="C23" s="26">
        <f>(((C20-C21)*0.95)*2)-C22*2</f>
        <v>87668.799999999988</v>
      </c>
      <c r="D23" s="26">
        <f t="shared" ref="D23:I23" si="27">(((D20-D21)*0.95)*2)-D22*2</f>
        <v>97168.799999999988</v>
      </c>
      <c r="E23" s="26">
        <f t="shared" si="27"/>
        <v>100968.79999999999</v>
      </c>
      <c r="F23" s="26">
        <f t="shared" si="27"/>
        <v>104768.79999999999</v>
      </c>
      <c r="G23" s="26">
        <f t="shared" si="27"/>
        <v>106668.79999999999</v>
      </c>
      <c r="H23" s="26">
        <f t="shared" si="27"/>
        <v>108568.79999999999</v>
      </c>
      <c r="I23" s="26">
        <f t="shared" si="27"/>
        <v>110468.79999999999</v>
      </c>
    </row>
    <row r="24" spans="1:15" x14ac:dyDescent="0.45">
      <c r="A24" s="115"/>
      <c r="B24" s="30" t="s">
        <v>48</v>
      </c>
      <c r="C24" s="26">
        <f>(C20-C21)-C22</f>
        <v>46852</v>
      </c>
      <c r="D24" s="26">
        <f t="shared" ref="D24:I24" si="28">(D20-D21)-D22</f>
        <v>51852</v>
      </c>
      <c r="E24" s="26">
        <f t="shared" si="28"/>
        <v>53852</v>
      </c>
      <c r="F24" s="26">
        <f t="shared" si="28"/>
        <v>55852</v>
      </c>
      <c r="G24" s="26">
        <f t="shared" si="28"/>
        <v>56852</v>
      </c>
      <c r="H24" s="26">
        <f t="shared" si="28"/>
        <v>57852</v>
      </c>
      <c r="I24" s="26">
        <f t="shared" si="28"/>
        <v>58852</v>
      </c>
    </row>
    <row r="25" spans="1:15" x14ac:dyDescent="0.45">
      <c r="A25" s="121" t="s">
        <v>13</v>
      </c>
      <c r="B25" s="122"/>
      <c r="C25" s="26">
        <f>SUM(C8,C13,C18,C23)</f>
        <v>313784.8</v>
      </c>
      <c r="D25" s="26">
        <f t="shared" ref="D25:I25" si="29">SUM(D8,D13,D18,D23)</f>
        <v>351784.8</v>
      </c>
      <c r="E25" s="26">
        <f t="shared" si="29"/>
        <v>366984.8</v>
      </c>
      <c r="F25" s="26">
        <f t="shared" si="29"/>
        <v>382184.8</v>
      </c>
      <c r="G25" s="26">
        <f t="shared" si="29"/>
        <v>389784.8</v>
      </c>
      <c r="H25" s="26">
        <f t="shared" si="29"/>
        <v>397384.8</v>
      </c>
      <c r="I25" s="26">
        <f t="shared" si="29"/>
        <v>404984.8</v>
      </c>
    </row>
    <row r="26" spans="1:15" ht="16.3" thickBot="1" x14ac:dyDescent="0.5">
      <c r="A26" s="112" t="s">
        <v>14</v>
      </c>
      <c r="B26" s="112"/>
      <c r="C26" s="112"/>
      <c r="D26" s="112"/>
      <c r="E26" s="112"/>
      <c r="F26" s="112"/>
      <c r="G26" s="112"/>
      <c r="H26" s="112"/>
      <c r="I26" s="112"/>
      <c r="J26" s="19"/>
      <c r="K26" s="19"/>
      <c r="L26" s="19"/>
      <c r="M26" s="19"/>
      <c r="N26" s="19"/>
      <c r="O26" s="19"/>
    </row>
    <row r="27" spans="1:15" ht="24" customHeight="1" x14ac:dyDescent="0.45">
      <c r="A27" s="114" t="s">
        <v>38</v>
      </c>
      <c r="B27" s="15" t="s">
        <v>15</v>
      </c>
      <c r="C27" s="2">
        <f>C5*0.75</f>
        <v>50325</v>
      </c>
      <c r="D27" s="2">
        <f t="shared" ref="D27:G27" si="30">C27</f>
        <v>50325</v>
      </c>
      <c r="E27" s="2">
        <f t="shared" si="30"/>
        <v>50325</v>
      </c>
      <c r="F27" s="2">
        <f t="shared" si="30"/>
        <v>50325</v>
      </c>
      <c r="G27" s="3">
        <f t="shared" si="30"/>
        <v>50325</v>
      </c>
      <c r="H27" s="3">
        <f>H5*0.75</f>
        <v>50325</v>
      </c>
      <c r="I27" s="3">
        <f t="shared" ref="I27" si="31">H27</f>
        <v>50325</v>
      </c>
    </row>
    <row r="28" spans="1:15" x14ac:dyDescent="0.45">
      <c r="A28" s="115"/>
      <c r="B28" s="15" t="s">
        <v>11</v>
      </c>
      <c r="C28" s="2">
        <v>15500</v>
      </c>
      <c r="D28" s="2">
        <v>10500</v>
      </c>
      <c r="E28" s="2">
        <v>8500</v>
      </c>
      <c r="F28" s="3">
        <v>6500</v>
      </c>
      <c r="G28" s="3">
        <v>5500</v>
      </c>
      <c r="H28" s="3">
        <v>4500</v>
      </c>
      <c r="I28" s="3">
        <v>3500</v>
      </c>
    </row>
    <row r="29" spans="1:15" x14ac:dyDescent="0.45">
      <c r="A29" s="115"/>
      <c r="B29" s="28" t="s">
        <v>47</v>
      </c>
      <c r="C29" s="24">
        <f>((C27-C28)*0.95)*2</f>
        <v>66167.5</v>
      </c>
      <c r="D29" s="24">
        <f t="shared" ref="D29:H29" si="32">((D27-D28)*0.95)*2</f>
        <v>75667.5</v>
      </c>
      <c r="E29" s="24">
        <f t="shared" si="32"/>
        <v>79467.5</v>
      </c>
      <c r="F29" s="24">
        <f t="shared" si="32"/>
        <v>83267.5</v>
      </c>
      <c r="G29" s="24">
        <f t="shared" si="32"/>
        <v>85167.5</v>
      </c>
      <c r="H29" s="24">
        <f t="shared" si="32"/>
        <v>87067.5</v>
      </c>
      <c r="I29" s="24">
        <f>((I27-I28)*0.95)*2</f>
        <v>88967.5</v>
      </c>
      <c r="J29" s="19"/>
      <c r="K29" s="19"/>
      <c r="L29" s="19"/>
      <c r="M29" s="19"/>
      <c r="N29" s="19"/>
      <c r="O29" s="19"/>
    </row>
    <row r="30" spans="1:15" ht="16.3" thickBot="1" x14ac:dyDescent="0.5">
      <c r="A30" s="115"/>
      <c r="B30" s="33" t="s">
        <v>48</v>
      </c>
      <c r="C30" s="24">
        <f>(C27-C28)</f>
        <v>34825</v>
      </c>
      <c r="D30" s="24">
        <f t="shared" ref="D30:I30" si="33">(D27-D28)</f>
        <v>39825</v>
      </c>
      <c r="E30" s="24">
        <f t="shared" si="33"/>
        <v>41825</v>
      </c>
      <c r="F30" s="24">
        <f t="shared" si="33"/>
        <v>43825</v>
      </c>
      <c r="G30" s="24">
        <f t="shared" si="33"/>
        <v>44825</v>
      </c>
      <c r="H30" s="24">
        <f t="shared" si="33"/>
        <v>45825</v>
      </c>
      <c r="I30" s="24">
        <f t="shared" si="33"/>
        <v>46825</v>
      </c>
      <c r="J30" s="19"/>
      <c r="K30" s="19"/>
      <c r="L30" s="19"/>
      <c r="M30" s="19"/>
      <c r="N30" s="19"/>
      <c r="O30" s="19"/>
    </row>
    <row r="31" spans="1:15" x14ac:dyDescent="0.45">
      <c r="A31" s="114" t="s">
        <v>39</v>
      </c>
      <c r="B31" s="1" t="s">
        <v>15</v>
      </c>
      <c r="C31" s="2">
        <f t="shared" ref="C31:I31" si="34">C10*0.75</f>
        <v>51600</v>
      </c>
      <c r="D31" s="2">
        <f t="shared" si="34"/>
        <v>51600</v>
      </c>
      <c r="E31" s="2">
        <f t="shared" si="34"/>
        <v>51600</v>
      </c>
      <c r="F31" s="2">
        <f t="shared" si="34"/>
        <v>51600</v>
      </c>
      <c r="G31" s="2">
        <f t="shared" si="34"/>
        <v>51600</v>
      </c>
      <c r="H31" s="2">
        <f t="shared" si="34"/>
        <v>51600</v>
      </c>
      <c r="I31" s="2">
        <f t="shared" si="34"/>
        <v>51600</v>
      </c>
    </row>
    <row r="32" spans="1:15" x14ac:dyDescent="0.45">
      <c r="A32" s="115"/>
      <c r="B32" s="15" t="s">
        <v>11</v>
      </c>
      <c r="C32" s="2">
        <f t="shared" ref="C32:I32" si="35">C28</f>
        <v>15500</v>
      </c>
      <c r="D32" s="2">
        <f t="shared" si="35"/>
        <v>10500</v>
      </c>
      <c r="E32" s="2">
        <f t="shared" si="35"/>
        <v>8500</v>
      </c>
      <c r="F32" s="2">
        <f t="shared" si="35"/>
        <v>6500</v>
      </c>
      <c r="G32" s="3">
        <f t="shared" si="35"/>
        <v>5500</v>
      </c>
      <c r="H32" s="3">
        <f t="shared" si="35"/>
        <v>4500</v>
      </c>
      <c r="I32" s="3">
        <f t="shared" si="35"/>
        <v>3500</v>
      </c>
    </row>
    <row r="33" spans="1:9" x14ac:dyDescent="0.45">
      <c r="A33" s="115"/>
      <c r="B33" s="29" t="s">
        <v>47</v>
      </c>
      <c r="C33" s="25">
        <f>((C31-C32)*0.95)*2</f>
        <v>68590</v>
      </c>
      <c r="D33" s="25">
        <f t="shared" ref="D33:I33" si="36">((D31-D32)*0.95)*2</f>
        <v>78090</v>
      </c>
      <c r="E33" s="25">
        <f t="shared" si="36"/>
        <v>81890</v>
      </c>
      <c r="F33" s="25">
        <f t="shared" si="36"/>
        <v>85690</v>
      </c>
      <c r="G33" s="25">
        <f t="shared" si="36"/>
        <v>87590</v>
      </c>
      <c r="H33" s="25">
        <f t="shared" si="36"/>
        <v>89490</v>
      </c>
      <c r="I33" s="25">
        <f t="shared" si="36"/>
        <v>91390</v>
      </c>
    </row>
    <row r="34" spans="1:9" ht="16.3" thickBot="1" x14ac:dyDescent="0.5">
      <c r="A34" s="115"/>
      <c r="B34" s="31" t="s">
        <v>48</v>
      </c>
      <c r="C34" s="25">
        <f>(C31-C32)</f>
        <v>36100</v>
      </c>
      <c r="D34" s="25">
        <f t="shared" ref="D34:I34" si="37">(D31-D32)</f>
        <v>41100</v>
      </c>
      <c r="E34" s="25">
        <f t="shared" si="37"/>
        <v>43100</v>
      </c>
      <c r="F34" s="25">
        <f t="shared" si="37"/>
        <v>45100</v>
      </c>
      <c r="G34" s="25">
        <f t="shared" si="37"/>
        <v>46100</v>
      </c>
      <c r="H34" s="25">
        <f t="shared" si="37"/>
        <v>47100</v>
      </c>
      <c r="I34" s="25">
        <f t="shared" si="37"/>
        <v>48100</v>
      </c>
    </row>
    <row r="35" spans="1:9" x14ac:dyDescent="0.45">
      <c r="A35" s="114" t="s">
        <v>40</v>
      </c>
      <c r="B35" s="1" t="s">
        <v>15</v>
      </c>
      <c r="C35" s="2">
        <f>C31*1.05</f>
        <v>54180</v>
      </c>
      <c r="D35" s="2">
        <f t="shared" ref="D35:G35" si="38">C35</f>
        <v>54180</v>
      </c>
      <c r="E35" s="2">
        <f t="shared" si="38"/>
        <v>54180</v>
      </c>
      <c r="F35" s="2">
        <f t="shared" si="38"/>
        <v>54180</v>
      </c>
      <c r="G35" s="3">
        <f t="shared" si="38"/>
        <v>54180</v>
      </c>
      <c r="H35" s="3">
        <f>H31*1.05</f>
        <v>54180</v>
      </c>
      <c r="I35" s="3">
        <f t="shared" ref="I35" si="39">H35</f>
        <v>54180</v>
      </c>
    </row>
    <row r="36" spans="1:9" x14ac:dyDescent="0.45">
      <c r="A36" s="115"/>
      <c r="B36" s="15" t="s">
        <v>11</v>
      </c>
      <c r="C36" s="2">
        <f t="shared" ref="C36:I36" si="40">C32</f>
        <v>15500</v>
      </c>
      <c r="D36" s="2">
        <f t="shared" si="40"/>
        <v>10500</v>
      </c>
      <c r="E36" s="2">
        <f t="shared" si="40"/>
        <v>8500</v>
      </c>
      <c r="F36" s="2">
        <f t="shared" si="40"/>
        <v>6500</v>
      </c>
      <c r="G36" s="3">
        <f t="shared" si="40"/>
        <v>5500</v>
      </c>
      <c r="H36" s="3">
        <f t="shared" si="40"/>
        <v>4500</v>
      </c>
      <c r="I36" s="3">
        <f t="shared" si="40"/>
        <v>3500</v>
      </c>
    </row>
    <row r="37" spans="1:9" x14ac:dyDescent="0.45">
      <c r="A37" s="115"/>
      <c r="B37" s="30" t="s">
        <v>47</v>
      </c>
      <c r="C37" s="26">
        <f>((C35-C36)*0.95)*2</f>
        <v>73492</v>
      </c>
      <c r="D37" s="26">
        <f t="shared" ref="D37:I37" si="41">((D35-D36)*0.95)*2</f>
        <v>82992</v>
      </c>
      <c r="E37" s="26">
        <f t="shared" si="41"/>
        <v>86792</v>
      </c>
      <c r="F37" s="26">
        <f t="shared" si="41"/>
        <v>90592</v>
      </c>
      <c r="G37" s="26">
        <f t="shared" si="41"/>
        <v>92492</v>
      </c>
      <c r="H37" s="26">
        <f t="shared" si="41"/>
        <v>94392</v>
      </c>
      <c r="I37" s="26">
        <f t="shared" si="41"/>
        <v>96292</v>
      </c>
    </row>
    <row r="38" spans="1:9" ht="16.3" thickBot="1" x14ac:dyDescent="0.5">
      <c r="A38" s="115"/>
      <c r="B38" s="32" t="s">
        <v>48</v>
      </c>
      <c r="C38" s="26">
        <f>(C35-C36)</f>
        <v>38680</v>
      </c>
      <c r="D38" s="26">
        <f t="shared" ref="D38:I38" si="42">(D35-D36)</f>
        <v>43680</v>
      </c>
      <c r="E38" s="26">
        <f t="shared" si="42"/>
        <v>45680</v>
      </c>
      <c r="F38" s="26">
        <f t="shared" si="42"/>
        <v>47680</v>
      </c>
      <c r="G38" s="26">
        <f t="shared" si="42"/>
        <v>48680</v>
      </c>
      <c r="H38" s="26">
        <f t="shared" si="42"/>
        <v>49680</v>
      </c>
      <c r="I38" s="26">
        <f t="shared" si="42"/>
        <v>50680</v>
      </c>
    </row>
    <row r="39" spans="1:9" x14ac:dyDescent="0.45">
      <c r="A39" s="114" t="s">
        <v>41</v>
      </c>
      <c r="B39" s="1" t="s">
        <v>15</v>
      </c>
      <c r="C39" s="2">
        <f>C35*1.05</f>
        <v>56889</v>
      </c>
      <c r="D39" s="2">
        <f t="shared" ref="D39" si="43">C39</f>
        <v>56889</v>
      </c>
      <c r="E39" s="2">
        <f t="shared" ref="E39" si="44">D39</f>
        <v>56889</v>
      </c>
      <c r="F39" s="2">
        <f t="shared" ref="F39" si="45">E39</f>
        <v>56889</v>
      </c>
      <c r="G39" s="3">
        <f t="shared" ref="G39" si="46">F39</f>
        <v>56889</v>
      </c>
      <c r="H39" s="3">
        <f>H35*1.05</f>
        <v>56889</v>
      </c>
      <c r="I39" s="3">
        <f t="shared" ref="I39" si="47">H39</f>
        <v>56889</v>
      </c>
    </row>
    <row r="40" spans="1:9" x14ac:dyDescent="0.45">
      <c r="A40" s="115"/>
      <c r="B40" s="15" t="s">
        <v>11</v>
      </c>
      <c r="C40" s="2">
        <f t="shared" ref="C40:I40" si="48">C36</f>
        <v>15500</v>
      </c>
      <c r="D40" s="2">
        <f t="shared" si="48"/>
        <v>10500</v>
      </c>
      <c r="E40" s="2">
        <f t="shared" si="48"/>
        <v>8500</v>
      </c>
      <c r="F40" s="2">
        <f t="shared" si="48"/>
        <v>6500</v>
      </c>
      <c r="G40" s="3">
        <f t="shared" si="48"/>
        <v>5500</v>
      </c>
      <c r="H40" s="3">
        <f t="shared" si="48"/>
        <v>4500</v>
      </c>
      <c r="I40" s="3">
        <f t="shared" si="48"/>
        <v>3500</v>
      </c>
    </row>
    <row r="41" spans="1:9" x14ac:dyDescent="0.45">
      <c r="A41" s="115"/>
      <c r="B41" s="30" t="s">
        <v>47</v>
      </c>
      <c r="C41" s="26">
        <f>((C39-C40)*0.95)*2</f>
        <v>78639.099999999991</v>
      </c>
      <c r="D41" s="26">
        <f t="shared" ref="D41:I41" si="49">((D39-D40)*0.95)*2</f>
        <v>88139.099999999991</v>
      </c>
      <c r="E41" s="26">
        <f t="shared" si="49"/>
        <v>91939.099999999991</v>
      </c>
      <c r="F41" s="26">
        <f t="shared" si="49"/>
        <v>95739.099999999991</v>
      </c>
      <c r="G41" s="26">
        <f t="shared" si="49"/>
        <v>97639.099999999991</v>
      </c>
      <c r="H41" s="26">
        <f t="shared" si="49"/>
        <v>99539.099999999991</v>
      </c>
      <c r="I41" s="26">
        <f t="shared" si="49"/>
        <v>101439.09999999999</v>
      </c>
    </row>
    <row r="42" spans="1:9" x14ac:dyDescent="0.45">
      <c r="A42" s="115"/>
      <c r="B42" s="32" t="s">
        <v>48</v>
      </c>
      <c r="C42" s="26">
        <f>(C39-C40)</f>
        <v>41389</v>
      </c>
      <c r="D42" s="26">
        <f t="shared" ref="D42:I42" si="50">(D39-D40)</f>
        <v>46389</v>
      </c>
      <c r="E42" s="26">
        <f t="shared" si="50"/>
        <v>48389</v>
      </c>
      <c r="F42" s="26">
        <f t="shared" si="50"/>
        <v>50389</v>
      </c>
      <c r="G42" s="26">
        <f t="shared" si="50"/>
        <v>51389</v>
      </c>
      <c r="H42" s="26">
        <f t="shared" si="50"/>
        <v>52389</v>
      </c>
      <c r="I42" s="26">
        <f t="shared" si="50"/>
        <v>53389</v>
      </c>
    </row>
    <row r="43" spans="1:9" x14ac:dyDescent="0.45">
      <c r="A43" s="123" t="s">
        <v>13</v>
      </c>
      <c r="B43" s="124"/>
      <c r="C43" s="26">
        <f>SUM(C29,C33,C37,C41)</f>
        <v>286888.59999999998</v>
      </c>
      <c r="D43" s="26">
        <f t="shared" ref="D43:I43" si="51">SUM(D29,D33,D37,D41)</f>
        <v>324888.59999999998</v>
      </c>
      <c r="E43" s="26">
        <f t="shared" si="51"/>
        <v>340088.6</v>
      </c>
      <c r="F43" s="26">
        <f t="shared" si="51"/>
        <v>355288.6</v>
      </c>
      <c r="G43" s="26">
        <f t="shared" si="51"/>
        <v>362888.6</v>
      </c>
      <c r="H43" s="26">
        <f t="shared" si="51"/>
        <v>370488.6</v>
      </c>
      <c r="I43" s="26">
        <f t="shared" si="51"/>
        <v>378088.6</v>
      </c>
    </row>
    <row r="44" spans="1:9" ht="16" customHeight="1" x14ac:dyDescent="0.45">
      <c r="A44" s="84" t="s">
        <v>16</v>
      </c>
      <c r="B44" s="84"/>
      <c r="C44" s="84"/>
      <c r="D44" s="84"/>
      <c r="E44" s="84"/>
      <c r="F44" s="84"/>
      <c r="G44" s="84"/>
      <c r="H44" s="84"/>
      <c r="I44" s="84"/>
    </row>
    <row r="45" spans="1:9" ht="16" customHeight="1" x14ac:dyDescent="0.45">
      <c r="A45" s="84"/>
      <c r="B45" s="84"/>
      <c r="C45" s="84"/>
      <c r="D45" s="84"/>
      <c r="E45" s="84"/>
      <c r="F45" s="84"/>
      <c r="G45" s="84"/>
      <c r="H45" s="84"/>
      <c r="I45" s="84"/>
    </row>
    <row r="46" spans="1:9" ht="17.149999999999999" customHeight="1" x14ac:dyDescent="0.45">
      <c r="A46" s="84"/>
      <c r="B46" s="84"/>
      <c r="C46" s="84"/>
      <c r="D46" s="84"/>
      <c r="E46" s="84"/>
      <c r="F46" s="84"/>
      <c r="G46" s="84"/>
      <c r="H46" s="84"/>
      <c r="I46" s="84"/>
    </row>
    <row r="47" spans="1:9" x14ac:dyDescent="0.45">
      <c r="A47" s="116" t="s">
        <v>17</v>
      </c>
      <c r="B47" s="117"/>
      <c r="C47" s="120" t="s">
        <v>18</v>
      </c>
      <c r="D47" s="120"/>
      <c r="E47" s="4">
        <v>5000</v>
      </c>
      <c r="F47" s="5"/>
      <c r="G47" s="6"/>
    </row>
    <row r="48" spans="1:9" ht="16" customHeight="1" x14ac:dyDescent="0.45">
      <c r="A48" s="116"/>
      <c r="B48" s="117"/>
      <c r="C48" s="86" t="s">
        <v>19</v>
      </c>
      <c r="D48" s="86"/>
      <c r="E48" s="7">
        <v>3000</v>
      </c>
      <c r="F48" s="5"/>
      <c r="G48" s="6"/>
    </row>
    <row r="49" spans="1:9" ht="16" customHeight="1" thickBot="1" x14ac:dyDescent="0.5">
      <c r="A49" s="118"/>
      <c r="B49" s="119"/>
      <c r="C49" s="87" t="s">
        <v>20</v>
      </c>
      <c r="D49" s="87"/>
      <c r="E49" s="7">
        <v>3000</v>
      </c>
      <c r="F49" s="8"/>
      <c r="G49" s="9"/>
    </row>
    <row r="50" spans="1:9" ht="33" customHeight="1" thickBot="1" x14ac:dyDescent="0.5">
      <c r="A50" s="10" t="s">
        <v>21</v>
      </c>
      <c r="B50" s="11" t="s">
        <v>22</v>
      </c>
      <c r="C50" s="12" t="s">
        <v>23</v>
      </c>
      <c r="D50" s="12" t="s">
        <v>24</v>
      </c>
      <c r="E50" s="12" t="s">
        <v>25</v>
      </c>
      <c r="F50" s="13" t="s">
        <v>26</v>
      </c>
      <c r="G50" s="11" t="s">
        <v>27</v>
      </c>
      <c r="H50" s="11" t="s">
        <v>28</v>
      </c>
      <c r="I50" s="11" t="s">
        <v>29</v>
      </c>
    </row>
    <row r="51" spans="1:9" ht="14.5" customHeight="1" thickBot="1" x14ac:dyDescent="0.5">
      <c r="A51" s="16" t="s">
        <v>30</v>
      </c>
      <c r="B51" s="14">
        <f>B52*2</f>
        <v>7000</v>
      </c>
      <c r="C51" s="14">
        <f t="shared" ref="C51:H51" si="52">C52*2</f>
        <v>5000</v>
      </c>
      <c r="D51" s="14">
        <v>1000</v>
      </c>
      <c r="E51" s="14">
        <f t="shared" si="52"/>
        <v>1500</v>
      </c>
      <c r="F51" s="14">
        <f t="shared" si="52"/>
        <v>1000</v>
      </c>
      <c r="G51" s="14">
        <f t="shared" si="52"/>
        <v>1000</v>
      </c>
      <c r="H51" s="14">
        <f t="shared" si="52"/>
        <v>2000</v>
      </c>
      <c r="I51" s="41">
        <f>SUM(B51:H51)</f>
        <v>18500</v>
      </c>
    </row>
    <row r="52" spans="1:9" ht="14.5" customHeight="1" x14ac:dyDescent="0.45">
      <c r="A52" s="36" t="s">
        <v>31</v>
      </c>
      <c r="B52" s="37">
        <v>3500</v>
      </c>
      <c r="C52" s="37">
        <v>2500</v>
      </c>
      <c r="D52" s="45">
        <v>1000</v>
      </c>
      <c r="E52" s="45">
        <v>750</v>
      </c>
      <c r="F52" s="45">
        <v>500</v>
      </c>
      <c r="G52" s="37">
        <v>500</v>
      </c>
      <c r="H52" s="37">
        <v>1000</v>
      </c>
      <c r="I52" s="42">
        <f>SUM(B52:H52)</f>
        <v>9750</v>
      </c>
    </row>
    <row r="53" spans="1:9" ht="24" customHeight="1" x14ac:dyDescent="0.45">
      <c r="A53" s="91" t="s">
        <v>45</v>
      </c>
      <c r="B53" s="91"/>
      <c r="C53" s="91"/>
      <c r="D53" s="91"/>
      <c r="E53" s="91"/>
      <c r="F53" s="91"/>
      <c r="G53" s="91"/>
      <c r="H53" s="91"/>
      <c r="I53" s="91"/>
    </row>
    <row r="54" spans="1:9" ht="22" customHeight="1" x14ac:dyDescent="0.45">
      <c r="A54" s="91" t="s">
        <v>46</v>
      </c>
      <c r="B54" s="91"/>
      <c r="C54" s="91"/>
      <c r="D54" s="91"/>
      <c r="E54" s="91"/>
      <c r="F54" s="91"/>
      <c r="G54" s="91"/>
      <c r="H54" s="91"/>
      <c r="I54" s="91"/>
    </row>
    <row r="55" spans="1:9" ht="34" customHeight="1" x14ac:dyDescent="0.45">
      <c r="A55" s="92" t="s">
        <v>43</v>
      </c>
      <c r="B55" s="92"/>
      <c r="C55" s="92"/>
      <c r="D55" s="92"/>
      <c r="E55" s="92"/>
      <c r="F55" s="92"/>
      <c r="G55" s="92"/>
      <c r="H55" s="92"/>
      <c r="I55" s="92"/>
    </row>
    <row r="56" spans="1:9" x14ac:dyDescent="0.45">
      <c r="A56" s="91" t="s">
        <v>32</v>
      </c>
      <c r="B56" s="91"/>
      <c r="C56" s="91"/>
      <c r="D56" s="91"/>
      <c r="E56" s="91"/>
      <c r="F56" s="91"/>
      <c r="G56" s="91"/>
      <c r="H56" s="91"/>
      <c r="I56" s="91"/>
    </row>
    <row r="57" spans="1:9" ht="28" customHeight="1" x14ac:dyDescent="0.45">
      <c r="A57" s="104" t="s">
        <v>83</v>
      </c>
      <c r="B57" s="105"/>
      <c r="C57" s="105"/>
      <c r="D57" s="105"/>
      <c r="E57" s="105"/>
      <c r="F57" s="105"/>
      <c r="G57" s="105"/>
      <c r="H57" s="105"/>
      <c r="I57" s="113"/>
    </row>
    <row r="58" spans="1:9" ht="13.5" customHeight="1" x14ac:dyDescent="0.45">
      <c r="A58" s="73" t="s">
        <v>9</v>
      </c>
      <c r="B58" s="74"/>
      <c r="C58" s="74"/>
      <c r="D58" s="74"/>
      <c r="E58" s="74"/>
      <c r="F58" s="74"/>
      <c r="G58" s="74"/>
      <c r="H58" s="74"/>
      <c r="I58" s="88"/>
    </row>
    <row r="60" spans="1:9" ht="28.75" customHeight="1" x14ac:dyDescent="0.45"/>
    <row r="61" spans="1:9" ht="39" customHeight="1" x14ac:dyDescent="0.45"/>
  </sheetData>
  <mergeCells count="25">
    <mergeCell ref="A53:I53"/>
    <mergeCell ref="A54:I54"/>
    <mergeCell ref="A20:A24"/>
    <mergeCell ref="A39:A42"/>
    <mergeCell ref="A25:B25"/>
    <mergeCell ref="A27:A30"/>
    <mergeCell ref="A31:A34"/>
    <mergeCell ref="A35:A38"/>
    <mergeCell ref="A43:B43"/>
    <mergeCell ref="A1:I1"/>
    <mergeCell ref="A2:I2"/>
    <mergeCell ref="A58:I58"/>
    <mergeCell ref="A4:I4"/>
    <mergeCell ref="A26:I26"/>
    <mergeCell ref="A57:I57"/>
    <mergeCell ref="A5:A9"/>
    <mergeCell ref="A10:A14"/>
    <mergeCell ref="A15:A19"/>
    <mergeCell ref="A44:I46"/>
    <mergeCell ref="A47:B49"/>
    <mergeCell ref="A55:I55"/>
    <mergeCell ref="A56:I56"/>
    <mergeCell ref="C47:D47"/>
    <mergeCell ref="C48:D48"/>
    <mergeCell ref="C49:D49"/>
  </mergeCells>
  <pageMargins left="0.7" right="0.7" top="0.75" bottom="0.75" header="0.3" footer="0.3"/>
  <pageSetup paperSize="9" scale="4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46"/>
  <sheetViews>
    <sheetView topLeftCell="C1" zoomScale="59" workbookViewId="0">
      <selection activeCell="A5" sqref="A5:XFD5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15.35546875" bestFit="1" customWidth="1"/>
    <col min="4" max="4" width="18.7851562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14" ht="18.45" x14ac:dyDescent="0.5">
      <c r="A1" s="125" t="s">
        <v>109</v>
      </c>
      <c r="B1" s="126"/>
      <c r="C1" s="126"/>
      <c r="D1" s="126"/>
      <c r="E1" s="126"/>
      <c r="F1" s="126"/>
      <c r="G1" s="126"/>
      <c r="H1" s="126"/>
    </row>
    <row r="2" spans="1:14" ht="14.5" customHeight="1" x14ac:dyDescent="0.45">
      <c r="A2" s="128" t="s">
        <v>110</v>
      </c>
      <c r="B2" s="128"/>
      <c r="C2" s="128"/>
      <c r="D2" s="128"/>
      <c r="E2" s="128"/>
      <c r="F2" s="128"/>
      <c r="G2" s="128"/>
      <c r="H2" s="128"/>
    </row>
    <row r="3" spans="1:14" ht="92.15" customHeight="1" x14ac:dyDescent="0.45">
      <c r="A3" s="128"/>
      <c r="B3" s="128"/>
      <c r="C3" s="128"/>
      <c r="D3" s="128"/>
      <c r="E3" s="128"/>
      <c r="F3" s="128"/>
      <c r="G3" s="128"/>
      <c r="H3" s="128"/>
    </row>
    <row r="4" spans="1:14" ht="85.4" customHeight="1" x14ac:dyDescent="0.45">
      <c r="A4" s="43" t="s">
        <v>1</v>
      </c>
      <c r="B4" s="44" t="s">
        <v>2</v>
      </c>
      <c r="C4" s="43" t="s">
        <v>52</v>
      </c>
      <c r="D4" s="43" t="s">
        <v>53</v>
      </c>
      <c r="E4" s="43" t="s">
        <v>54</v>
      </c>
      <c r="F4" s="43" t="s">
        <v>55</v>
      </c>
      <c r="G4" s="43" t="s">
        <v>56</v>
      </c>
    </row>
    <row r="5" spans="1:14" x14ac:dyDescent="0.45">
      <c r="A5" s="76" t="s">
        <v>0</v>
      </c>
      <c r="B5" s="76"/>
      <c r="C5" s="76"/>
      <c r="D5" s="76"/>
      <c r="E5" s="76"/>
      <c r="F5" s="76"/>
      <c r="G5" s="76"/>
      <c r="H5" s="77"/>
    </row>
    <row r="6" spans="1:14" x14ac:dyDescent="0.45">
      <c r="A6" s="127" t="s">
        <v>38</v>
      </c>
      <c r="B6" s="46" t="s">
        <v>10</v>
      </c>
      <c r="C6" s="34">
        <v>62100</v>
      </c>
      <c r="D6" s="34">
        <f>C6</f>
        <v>62100</v>
      </c>
      <c r="E6" s="34">
        <f t="shared" ref="E6:G6" si="0">D6</f>
        <v>62100</v>
      </c>
      <c r="F6" s="35">
        <f t="shared" si="0"/>
        <v>62100</v>
      </c>
      <c r="G6" s="35">
        <f t="shared" si="0"/>
        <v>62100</v>
      </c>
      <c r="H6" s="19"/>
      <c r="I6" s="19"/>
      <c r="J6" s="19"/>
      <c r="K6" s="19"/>
      <c r="L6" s="19"/>
    </row>
    <row r="7" spans="1:14" x14ac:dyDescent="0.45">
      <c r="A7" s="115"/>
      <c r="B7" s="27" t="s">
        <v>11</v>
      </c>
      <c r="C7" s="2">
        <v>15000</v>
      </c>
      <c r="D7" s="2">
        <v>13000</v>
      </c>
      <c r="E7" s="2">
        <v>11000</v>
      </c>
      <c r="F7" s="3">
        <v>9000</v>
      </c>
      <c r="G7" s="3">
        <v>7000</v>
      </c>
    </row>
    <row r="8" spans="1:14" x14ac:dyDescent="0.45">
      <c r="A8" s="115"/>
      <c r="B8" s="29" t="s">
        <v>44</v>
      </c>
      <c r="C8" s="25">
        <v>5500</v>
      </c>
      <c r="D8" s="25">
        <f>C8</f>
        <v>5500</v>
      </c>
      <c r="E8" s="25">
        <f t="shared" ref="E8:G8" si="1">D8</f>
        <v>5500</v>
      </c>
      <c r="F8" s="25">
        <f t="shared" si="1"/>
        <v>5500</v>
      </c>
      <c r="G8" s="25">
        <f t="shared" si="1"/>
        <v>5500</v>
      </c>
    </row>
    <row r="9" spans="1:14" x14ac:dyDescent="0.45">
      <c r="A9" s="115"/>
      <c r="B9" s="29" t="s">
        <v>47</v>
      </c>
      <c r="C9" s="25">
        <f>(((C6-C7)*0.95)*2)-C8*2</f>
        <v>78490</v>
      </c>
      <c r="D9" s="25">
        <f t="shared" ref="D9:G9" si="2">(((D6-D7)*0.95)*2)-D8*2</f>
        <v>82290</v>
      </c>
      <c r="E9" s="25">
        <f t="shared" si="2"/>
        <v>86090</v>
      </c>
      <c r="F9" s="25">
        <f t="shared" si="2"/>
        <v>89890</v>
      </c>
      <c r="G9" s="25">
        <f t="shared" si="2"/>
        <v>93690</v>
      </c>
    </row>
    <row r="10" spans="1:14" ht="16.3" thickBot="1" x14ac:dyDescent="0.5">
      <c r="A10" s="115"/>
      <c r="B10" s="29" t="s">
        <v>48</v>
      </c>
      <c r="C10" s="25">
        <f>(C6-C7)-C8</f>
        <v>41600</v>
      </c>
      <c r="D10" s="25">
        <f t="shared" ref="D10:G10" si="3">(D6-D7)-D8</f>
        <v>43600</v>
      </c>
      <c r="E10" s="25">
        <f t="shared" si="3"/>
        <v>45600</v>
      </c>
      <c r="F10" s="25">
        <f t="shared" si="3"/>
        <v>47600</v>
      </c>
      <c r="G10" s="25">
        <f t="shared" si="3"/>
        <v>49600</v>
      </c>
      <c r="H10" s="19"/>
      <c r="I10" s="19"/>
      <c r="J10" s="19"/>
      <c r="K10" s="19"/>
      <c r="L10" s="19"/>
      <c r="M10" s="19"/>
      <c r="N10" s="19"/>
    </row>
    <row r="11" spans="1:14" ht="16" customHeight="1" x14ac:dyDescent="0.45">
      <c r="A11" s="114" t="s">
        <v>39</v>
      </c>
      <c r="B11" s="27" t="s">
        <v>12</v>
      </c>
      <c r="C11" s="2">
        <v>63550</v>
      </c>
      <c r="D11" s="2">
        <f t="shared" ref="D11:G11" si="4">C11</f>
        <v>63550</v>
      </c>
      <c r="E11" s="2">
        <f t="shared" si="4"/>
        <v>63550</v>
      </c>
      <c r="F11" s="3">
        <f t="shared" si="4"/>
        <v>63550</v>
      </c>
      <c r="G11" s="3">
        <f t="shared" si="4"/>
        <v>63550</v>
      </c>
    </row>
    <row r="12" spans="1:14" x14ac:dyDescent="0.45">
      <c r="A12" s="115"/>
      <c r="B12" s="27" t="s">
        <v>11</v>
      </c>
      <c r="C12" s="2">
        <f t="shared" ref="C12:G12" si="5">C7</f>
        <v>15000</v>
      </c>
      <c r="D12" s="2">
        <f t="shared" si="5"/>
        <v>13000</v>
      </c>
      <c r="E12" s="2">
        <f t="shared" si="5"/>
        <v>11000</v>
      </c>
      <c r="F12" s="3">
        <f t="shared" si="5"/>
        <v>9000</v>
      </c>
      <c r="G12" s="3">
        <f t="shared" si="5"/>
        <v>7000</v>
      </c>
      <c r="H12" s="19"/>
    </row>
    <row r="13" spans="1:14" x14ac:dyDescent="0.45">
      <c r="A13" s="115"/>
      <c r="B13" s="30" t="s">
        <v>44</v>
      </c>
      <c r="C13" s="26">
        <f>C8</f>
        <v>5500</v>
      </c>
      <c r="D13" s="26">
        <f>C13</f>
        <v>5500</v>
      </c>
      <c r="E13" s="26">
        <f t="shared" ref="E13:G13" si="6">D13</f>
        <v>5500</v>
      </c>
      <c r="F13" s="26">
        <f t="shared" si="6"/>
        <v>5500</v>
      </c>
      <c r="G13" s="26">
        <f t="shared" si="6"/>
        <v>5500</v>
      </c>
      <c r="H13" s="19"/>
    </row>
    <row r="14" spans="1:14" x14ac:dyDescent="0.45">
      <c r="A14" s="115"/>
      <c r="B14" s="30" t="s">
        <v>47</v>
      </c>
      <c r="C14" s="26">
        <f>(((C11-C12)*0.95)*2)-C13*2</f>
        <v>81245</v>
      </c>
      <c r="D14" s="26">
        <f t="shared" ref="D14:G14" si="7">(((D11-D12)*0.95)*2)-D13*2</f>
        <v>85045</v>
      </c>
      <c r="E14" s="26">
        <f t="shared" si="7"/>
        <v>88845</v>
      </c>
      <c r="F14" s="26">
        <f t="shared" si="7"/>
        <v>92645</v>
      </c>
      <c r="G14" s="26">
        <f t="shared" si="7"/>
        <v>96445</v>
      </c>
    </row>
    <row r="15" spans="1:14" x14ac:dyDescent="0.45">
      <c r="A15" s="115"/>
      <c r="B15" s="30" t="s">
        <v>48</v>
      </c>
      <c r="C15" s="26">
        <f>(C11-C12)-C13</f>
        <v>43050</v>
      </c>
      <c r="D15" s="26">
        <f t="shared" ref="D15:G15" si="8">(D11-D12)-D13</f>
        <v>45050</v>
      </c>
      <c r="E15" s="26">
        <f t="shared" si="8"/>
        <v>47050</v>
      </c>
      <c r="F15" s="26">
        <f t="shared" si="8"/>
        <v>49050</v>
      </c>
      <c r="G15" s="26">
        <f t="shared" si="8"/>
        <v>51050</v>
      </c>
    </row>
    <row r="16" spans="1:14" x14ac:dyDescent="0.45">
      <c r="A16" s="121" t="s">
        <v>13</v>
      </c>
      <c r="B16" s="122"/>
      <c r="C16" s="26">
        <f t="shared" ref="C16:G16" si="9">SUM(C9,C14)</f>
        <v>159735</v>
      </c>
      <c r="D16" s="26">
        <f t="shared" si="9"/>
        <v>167335</v>
      </c>
      <c r="E16" s="26">
        <f t="shared" si="9"/>
        <v>174935</v>
      </c>
      <c r="F16" s="26">
        <f t="shared" si="9"/>
        <v>182535</v>
      </c>
      <c r="G16" s="26">
        <f t="shared" si="9"/>
        <v>190135</v>
      </c>
    </row>
    <row r="17" spans="1:14" ht="16.3" thickBot="1" x14ac:dyDescent="0.5">
      <c r="A17" s="111" t="s">
        <v>14</v>
      </c>
      <c r="B17" s="111"/>
      <c r="C17" s="111"/>
      <c r="D17" s="111"/>
      <c r="E17" s="111"/>
      <c r="F17" s="111"/>
      <c r="G17" s="111"/>
      <c r="H17" s="111"/>
    </row>
    <row r="18" spans="1:14" ht="26.15" customHeight="1" x14ac:dyDescent="0.45">
      <c r="A18" s="114" t="s">
        <v>38</v>
      </c>
      <c r="B18" s="15" t="s">
        <v>15</v>
      </c>
      <c r="C18" s="2">
        <f>C6*0.75</f>
        <v>46575</v>
      </c>
      <c r="D18" s="2">
        <f t="shared" ref="D18:G18" si="10">C18</f>
        <v>46575</v>
      </c>
      <c r="E18" s="2">
        <f t="shared" si="10"/>
        <v>46575</v>
      </c>
      <c r="F18" s="2">
        <f t="shared" si="10"/>
        <v>46575</v>
      </c>
      <c r="G18" s="3">
        <f t="shared" si="10"/>
        <v>46575</v>
      </c>
    </row>
    <row r="19" spans="1:14" x14ac:dyDescent="0.45">
      <c r="A19" s="115"/>
      <c r="B19" s="15" t="s">
        <v>11</v>
      </c>
      <c r="C19" s="2">
        <v>15000</v>
      </c>
      <c r="D19" s="2">
        <v>13000</v>
      </c>
      <c r="E19" s="2">
        <v>11000</v>
      </c>
      <c r="F19" s="3">
        <v>9000</v>
      </c>
      <c r="G19" s="3">
        <v>7000</v>
      </c>
      <c r="H19" s="19"/>
      <c r="I19" s="19"/>
      <c r="J19" s="19"/>
      <c r="K19" s="19"/>
      <c r="L19" s="19"/>
      <c r="M19" s="19"/>
      <c r="N19" s="19"/>
    </row>
    <row r="20" spans="1:14" x14ac:dyDescent="0.45">
      <c r="A20" s="115"/>
      <c r="B20" s="29" t="s">
        <v>47</v>
      </c>
      <c r="C20" s="25">
        <f>((C18-C19)*0.95)*2</f>
        <v>59992.5</v>
      </c>
      <c r="D20" s="25">
        <f t="shared" ref="D20:G20" si="11">((D18-D19)*0.95)*2</f>
        <v>63792.5</v>
      </c>
      <c r="E20" s="25">
        <f t="shared" si="11"/>
        <v>67592.5</v>
      </c>
      <c r="F20" s="25">
        <f t="shared" si="11"/>
        <v>71392.5</v>
      </c>
      <c r="G20" s="25">
        <f t="shared" si="11"/>
        <v>75192.5</v>
      </c>
      <c r="I20" s="19"/>
      <c r="J20" s="19"/>
      <c r="K20" s="19"/>
      <c r="L20" s="19"/>
      <c r="M20" s="19"/>
    </row>
    <row r="21" spans="1:14" ht="16.3" thickBot="1" x14ac:dyDescent="0.5">
      <c r="A21" s="115"/>
      <c r="B21" s="31" t="s">
        <v>48</v>
      </c>
      <c r="C21" s="25">
        <f>(C18-C19)</f>
        <v>31575</v>
      </c>
      <c r="D21" s="25">
        <f t="shared" ref="D21:G21" si="12">(D18-D19)</f>
        <v>33575</v>
      </c>
      <c r="E21" s="25">
        <f t="shared" si="12"/>
        <v>35575</v>
      </c>
      <c r="F21" s="25">
        <f t="shared" si="12"/>
        <v>37575</v>
      </c>
      <c r="G21" s="25">
        <f t="shared" si="12"/>
        <v>39575</v>
      </c>
      <c r="H21" s="19"/>
      <c r="I21" s="19"/>
      <c r="J21" s="19"/>
      <c r="K21" s="19"/>
      <c r="L21" s="19"/>
      <c r="M21" s="19"/>
      <c r="N21" s="19"/>
    </row>
    <row r="22" spans="1:14" x14ac:dyDescent="0.45">
      <c r="A22" s="114" t="s">
        <v>39</v>
      </c>
      <c r="B22" s="1" t="s">
        <v>15</v>
      </c>
      <c r="C22" s="2">
        <f>C11*0.75</f>
        <v>47662.5</v>
      </c>
      <c r="D22" s="2">
        <f>D11*0.75</f>
        <v>47662.5</v>
      </c>
      <c r="E22" s="2">
        <f>E11*0.75</f>
        <v>47662.5</v>
      </c>
      <c r="F22" s="2">
        <f>F11*0.75</f>
        <v>47662.5</v>
      </c>
      <c r="G22" s="2">
        <f>G11*0.75</f>
        <v>47662.5</v>
      </c>
    </row>
    <row r="23" spans="1:14" x14ac:dyDescent="0.45">
      <c r="A23" s="115"/>
      <c r="B23" s="15" t="s">
        <v>11</v>
      </c>
      <c r="C23" s="2">
        <f t="shared" ref="C23:G23" si="13">C19</f>
        <v>15000</v>
      </c>
      <c r="D23" s="2">
        <f t="shared" si="13"/>
        <v>13000</v>
      </c>
      <c r="E23" s="2">
        <f t="shared" si="13"/>
        <v>11000</v>
      </c>
      <c r="F23" s="2">
        <f t="shared" si="13"/>
        <v>9000</v>
      </c>
      <c r="G23" s="3">
        <f t="shared" si="13"/>
        <v>7000</v>
      </c>
    </row>
    <row r="24" spans="1:14" x14ac:dyDescent="0.45">
      <c r="A24" s="115"/>
      <c r="B24" s="30" t="s">
        <v>47</v>
      </c>
      <c r="C24" s="26">
        <f>((C22-C23)*0.95)*2</f>
        <v>62058.75</v>
      </c>
      <c r="D24" s="26">
        <f t="shared" ref="D24:G24" si="14">((D22-D23)*0.95)*2</f>
        <v>65858.75</v>
      </c>
      <c r="E24" s="26">
        <f t="shared" si="14"/>
        <v>69658.75</v>
      </c>
      <c r="F24" s="26">
        <f t="shared" si="14"/>
        <v>73458.75</v>
      </c>
      <c r="G24" s="26">
        <f t="shared" si="14"/>
        <v>77258.75</v>
      </c>
    </row>
    <row r="25" spans="1:14" x14ac:dyDescent="0.45">
      <c r="A25" s="115"/>
      <c r="B25" s="32" t="s">
        <v>48</v>
      </c>
      <c r="C25" s="26">
        <f>(C22-C23)</f>
        <v>32662.5</v>
      </c>
      <c r="D25" s="26">
        <f t="shared" ref="D25:G25" si="15">(D22-D23)</f>
        <v>34662.5</v>
      </c>
      <c r="E25" s="26">
        <f t="shared" si="15"/>
        <v>36662.5</v>
      </c>
      <c r="F25" s="26">
        <f t="shared" si="15"/>
        <v>38662.5</v>
      </c>
      <c r="G25" s="26">
        <f t="shared" si="15"/>
        <v>40662.5</v>
      </c>
    </row>
    <row r="26" spans="1:14" ht="16" customHeight="1" x14ac:dyDescent="0.45">
      <c r="A26" s="123" t="s">
        <v>13</v>
      </c>
      <c r="B26" s="124"/>
      <c r="C26" s="26">
        <f t="shared" ref="C26:G26" si="16">SUM(C20,C24)</f>
        <v>122051.25</v>
      </c>
      <c r="D26" s="26">
        <f t="shared" si="16"/>
        <v>129651.25</v>
      </c>
      <c r="E26" s="26">
        <f t="shared" si="16"/>
        <v>137251.25</v>
      </c>
      <c r="F26" s="26">
        <f t="shared" si="16"/>
        <v>144851.25</v>
      </c>
      <c r="G26" s="26">
        <f t="shared" si="16"/>
        <v>152451.25</v>
      </c>
    </row>
    <row r="27" spans="1:14" ht="16" customHeight="1" x14ac:dyDescent="0.45">
      <c r="A27" s="131" t="s">
        <v>16</v>
      </c>
      <c r="B27" s="132"/>
      <c r="C27" s="132"/>
      <c r="D27" s="132"/>
      <c r="E27" s="132"/>
      <c r="F27" s="132"/>
      <c r="G27" s="132"/>
      <c r="H27" s="132"/>
    </row>
    <row r="28" spans="1:14" ht="16" customHeight="1" x14ac:dyDescent="0.45">
      <c r="A28" s="133"/>
      <c r="B28" s="134"/>
      <c r="C28" s="134"/>
      <c r="D28" s="134"/>
      <c r="E28" s="134"/>
      <c r="F28" s="134"/>
      <c r="G28" s="134"/>
      <c r="H28" s="134"/>
    </row>
    <row r="29" spans="1:14" ht="16" customHeight="1" x14ac:dyDescent="0.45">
      <c r="A29" s="135"/>
      <c r="B29" s="136"/>
      <c r="C29" s="136"/>
      <c r="D29" s="136"/>
      <c r="E29" s="136"/>
      <c r="F29" s="136"/>
      <c r="G29" s="136"/>
      <c r="H29" s="136"/>
    </row>
    <row r="30" spans="1:14" ht="16" customHeight="1" x14ac:dyDescent="0.45">
      <c r="A30" s="17" t="s">
        <v>17</v>
      </c>
      <c r="B30" s="18"/>
      <c r="C30" s="120" t="s">
        <v>18</v>
      </c>
      <c r="D30" s="120"/>
      <c r="E30" s="39">
        <v>5000</v>
      </c>
      <c r="F30" s="129"/>
      <c r="G30" s="129"/>
      <c r="H30" s="129"/>
      <c r="I30" s="129"/>
    </row>
    <row r="31" spans="1:14" ht="17.149999999999999" customHeight="1" x14ac:dyDescent="0.45">
      <c r="A31" s="17"/>
      <c r="B31" s="18"/>
      <c r="C31" s="86" t="s">
        <v>19</v>
      </c>
      <c r="D31" s="86"/>
      <c r="E31" s="39">
        <v>3000</v>
      </c>
      <c r="F31" s="129"/>
      <c r="G31" s="129"/>
      <c r="H31" s="129"/>
      <c r="I31" s="129"/>
    </row>
    <row r="32" spans="1:14" x14ac:dyDescent="0.45">
      <c r="A32" s="17"/>
      <c r="B32" s="18"/>
      <c r="C32" s="130" t="s">
        <v>20</v>
      </c>
      <c r="D32" s="130"/>
      <c r="E32" s="40">
        <v>3000</v>
      </c>
      <c r="F32" s="129"/>
      <c r="G32" s="129"/>
      <c r="H32" s="129"/>
      <c r="I32" s="129"/>
    </row>
    <row r="33" spans="1:8" ht="46" customHeight="1" x14ac:dyDescent="0.45">
      <c r="A33" s="20" t="s">
        <v>21</v>
      </c>
      <c r="B33" s="20" t="s">
        <v>22</v>
      </c>
      <c r="C33" s="21" t="s">
        <v>23</v>
      </c>
      <c r="D33" s="21" t="s">
        <v>24</v>
      </c>
      <c r="E33" s="21" t="s">
        <v>25</v>
      </c>
      <c r="F33" s="21" t="s">
        <v>26</v>
      </c>
      <c r="G33" s="20" t="s">
        <v>27</v>
      </c>
      <c r="H33" s="20" t="s">
        <v>29</v>
      </c>
    </row>
    <row r="34" spans="1:8" ht="16" customHeight="1" x14ac:dyDescent="0.45">
      <c r="A34" s="16" t="s">
        <v>30</v>
      </c>
      <c r="B34" s="7">
        <f>B35*2</f>
        <v>9000</v>
      </c>
      <c r="C34" s="7">
        <f t="shared" ref="C34:G34" si="17">C35*2</f>
        <v>7000</v>
      </c>
      <c r="D34" s="7">
        <v>1000</v>
      </c>
      <c r="E34" s="7">
        <f t="shared" si="17"/>
        <v>1500</v>
      </c>
      <c r="F34" s="7">
        <f t="shared" si="17"/>
        <v>1000</v>
      </c>
      <c r="G34" s="7">
        <f t="shared" si="17"/>
        <v>1000</v>
      </c>
      <c r="H34" s="7">
        <f>SUM(B34:G34)</f>
        <v>20500</v>
      </c>
    </row>
    <row r="35" spans="1:8" ht="33" customHeight="1" x14ac:dyDescent="0.45">
      <c r="A35" s="16" t="s">
        <v>31</v>
      </c>
      <c r="B35" s="7">
        <v>4500</v>
      </c>
      <c r="C35" s="7">
        <v>3500</v>
      </c>
      <c r="D35" s="22">
        <v>1000</v>
      </c>
      <c r="E35" s="22">
        <v>750</v>
      </c>
      <c r="F35" s="22">
        <v>500</v>
      </c>
      <c r="G35" s="7">
        <v>500</v>
      </c>
      <c r="H35" s="7">
        <f>SUM(B35:G35)</f>
        <v>10750</v>
      </c>
    </row>
    <row r="36" spans="1:8" ht="15" customHeight="1" x14ac:dyDescent="0.45">
      <c r="A36" s="91" t="s">
        <v>45</v>
      </c>
      <c r="B36" s="91"/>
      <c r="C36" s="91"/>
      <c r="D36" s="91"/>
      <c r="E36" s="91"/>
      <c r="F36" s="91"/>
      <c r="G36" s="91"/>
      <c r="H36" s="91"/>
    </row>
    <row r="37" spans="1:8" ht="22" customHeight="1" x14ac:dyDescent="0.45">
      <c r="A37" s="91" t="s">
        <v>46</v>
      </c>
      <c r="B37" s="91"/>
      <c r="C37" s="91"/>
      <c r="D37" s="91"/>
      <c r="E37" s="91"/>
      <c r="F37" s="91"/>
      <c r="G37" s="91"/>
      <c r="H37" s="91"/>
    </row>
    <row r="38" spans="1:8" ht="49" customHeight="1" x14ac:dyDescent="0.45">
      <c r="A38" s="92" t="s">
        <v>43</v>
      </c>
      <c r="B38" s="92"/>
      <c r="C38" s="92"/>
      <c r="D38" s="92"/>
      <c r="E38" s="92"/>
      <c r="F38" s="92"/>
      <c r="G38" s="92"/>
      <c r="H38" s="92"/>
    </row>
    <row r="39" spans="1:8" ht="21" customHeight="1" x14ac:dyDescent="0.45">
      <c r="A39" s="91" t="s">
        <v>32</v>
      </c>
      <c r="B39" s="91"/>
      <c r="C39" s="91"/>
      <c r="D39" s="91"/>
      <c r="E39" s="91"/>
      <c r="F39" s="91"/>
      <c r="G39" s="91"/>
      <c r="H39" s="91"/>
    </row>
    <row r="40" spans="1:8" x14ac:dyDescent="0.45">
      <c r="A40" s="73" t="s">
        <v>9</v>
      </c>
      <c r="B40" s="74"/>
      <c r="C40" s="74"/>
      <c r="D40" s="74"/>
      <c r="E40" s="74"/>
      <c r="F40" s="74"/>
      <c r="G40" s="74"/>
      <c r="H40" s="74"/>
    </row>
    <row r="42" spans="1:8" ht="28" customHeight="1" x14ac:dyDescent="0.45"/>
    <row r="43" spans="1:8" ht="13.5" customHeight="1" x14ac:dyDescent="0.45"/>
    <row r="45" spans="1:8" ht="28.75" customHeight="1" x14ac:dyDescent="0.45"/>
    <row r="46" spans="1:8" ht="39" customHeight="1" x14ac:dyDescent="0.45"/>
  </sheetData>
  <mergeCells count="20">
    <mergeCell ref="A36:H36"/>
    <mergeCell ref="A37:H37"/>
    <mergeCell ref="A38:H38"/>
    <mergeCell ref="A27:H29"/>
    <mergeCell ref="A40:H40"/>
    <mergeCell ref="A5:H5"/>
    <mergeCell ref="A17:H17"/>
    <mergeCell ref="A1:H1"/>
    <mergeCell ref="A6:A10"/>
    <mergeCell ref="A11:A15"/>
    <mergeCell ref="A16:B16"/>
    <mergeCell ref="A18:A21"/>
    <mergeCell ref="A22:A25"/>
    <mergeCell ref="A2:H3"/>
    <mergeCell ref="A39:H39"/>
    <mergeCell ref="A26:B26"/>
    <mergeCell ref="C30:D30"/>
    <mergeCell ref="F30:I32"/>
    <mergeCell ref="C31:D31"/>
    <mergeCell ref="C32:D32"/>
  </mergeCells>
  <pageMargins left="0.7" right="0.7" top="0.75" bottom="0.75" header="0.3" footer="0.3"/>
  <pageSetup paperSize="9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4"/>
  <sheetViews>
    <sheetView zoomScale="65" workbookViewId="0">
      <selection activeCell="A4" sqref="A4:XFD4"/>
    </sheetView>
  </sheetViews>
  <sheetFormatPr defaultColWidth="18.85546875" defaultRowHeight="15.9" x14ac:dyDescent="0.45"/>
  <cols>
    <col min="2" max="2" width="43.140625" customWidth="1"/>
    <col min="3" max="3" width="15.42578125" bestFit="1" customWidth="1"/>
  </cols>
  <sheetData>
    <row r="1" spans="1:8" x14ac:dyDescent="0.45">
      <c r="A1" s="75" t="s">
        <v>112</v>
      </c>
      <c r="B1" s="76"/>
      <c r="C1" s="76"/>
      <c r="D1" s="76"/>
      <c r="E1" s="76"/>
      <c r="F1" s="76"/>
      <c r="G1" s="76"/>
      <c r="H1" s="77"/>
    </row>
    <row r="2" spans="1:8" ht="68.599999999999994" customHeight="1" x14ac:dyDescent="0.45">
      <c r="A2" s="72" t="s">
        <v>113</v>
      </c>
      <c r="B2" s="71"/>
      <c r="C2" s="71"/>
      <c r="D2" s="71"/>
      <c r="E2" s="71"/>
      <c r="F2" s="71"/>
      <c r="G2" s="71"/>
      <c r="H2" s="71"/>
    </row>
    <row r="3" spans="1:8" x14ac:dyDescent="0.45">
      <c r="A3" s="44" t="s">
        <v>75</v>
      </c>
      <c r="B3" s="44" t="s">
        <v>2</v>
      </c>
      <c r="C3" s="43" t="s">
        <v>64</v>
      </c>
      <c r="D3" s="56"/>
      <c r="E3" s="56"/>
      <c r="F3" s="56"/>
      <c r="G3" s="56"/>
    </row>
    <row r="4" spans="1:8" x14ac:dyDescent="0.45">
      <c r="A4" s="143" t="s">
        <v>114</v>
      </c>
      <c r="B4" s="144"/>
      <c r="C4" s="144"/>
      <c r="D4" s="144"/>
      <c r="E4" s="144"/>
      <c r="F4" s="144"/>
      <c r="G4" s="144"/>
      <c r="H4" s="144"/>
    </row>
    <row r="5" spans="1:8" ht="23.15" x14ac:dyDescent="0.45">
      <c r="A5" s="81" t="s">
        <v>38</v>
      </c>
      <c r="B5" s="53" t="s">
        <v>76</v>
      </c>
      <c r="C5" s="50">
        <v>29300</v>
      </c>
      <c r="D5" s="56"/>
      <c r="E5" s="56"/>
      <c r="F5" s="56"/>
      <c r="G5" s="56"/>
    </row>
    <row r="6" spans="1:8" x14ac:dyDescent="0.45">
      <c r="A6" s="81"/>
      <c r="B6" s="68" t="s">
        <v>47</v>
      </c>
      <c r="C6" s="51">
        <f>(C5)*2*0.95</f>
        <v>55670</v>
      </c>
      <c r="D6" s="56"/>
      <c r="E6" s="56"/>
      <c r="F6" s="56"/>
      <c r="G6" s="56"/>
    </row>
    <row r="7" spans="1:8" x14ac:dyDescent="0.45">
      <c r="A7" s="81"/>
      <c r="B7" s="68" t="s">
        <v>48</v>
      </c>
      <c r="C7" s="51">
        <f>(C5)</f>
        <v>29300</v>
      </c>
      <c r="D7" s="56"/>
      <c r="E7" s="56"/>
      <c r="F7" s="56"/>
      <c r="G7" s="56"/>
    </row>
    <row r="8" spans="1:8" ht="23.15" x14ac:dyDescent="0.45">
      <c r="A8" s="81" t="s">
        <v>77</v>
      </c>
      <c r="B8" s="53" t="s">
        <v>76</v>
      </c>
      <c r="C8" s="2">
        <v>30000</v>
      </c>
      <c r="D8" s="56"/>
      <c r="E8" s="56"/>
      <c r="F8" s="56"/>
      <c r="G8" s="56"/>
    </row>
    <row r="9" spans="1:8" x14ac:dyDescent="0.45">
      <c r="A9" s="81"/>
      <c r="B9" s="68" t="s">
        <v>47</v>
      </c>
      <c r="C9" s="51">
        <f>(C8)*2*0.95</f>
        <v>57000</v>
      </c>
      <c r="D9" s="56"/>
      <c r="E9" s="56"/>
      <c r="F9" s="56"/>
      <c r="G9" s="56"/>
    </row>
    <row r="10" spans="1:8" x14ac:dyDescent="0.45">
      <c r="A10" s="81"/>
      <c r="B10" s="68" t="s">
        <v>48</v>
      </c>
      <c r="C10" s="51">
        <f>(C8)</f>
        <v>30000</v>
      </c>
      <c r="D10" s="56"/>
      <c r="E10" s="56"/>
      <c r="F10" s="56"/>
      <c r="G10" s="56"/>
    </row>
    <row r="11" spans="1:8" ht="23.15" x14ac:dyDescent="0.45">
      <c r="A11" s="81" t="s">
        <v>78</v>
      </c>
      <c r="B11" s="53" t="s">
        <v>76</v>
      </c>
      <c r="C11" s="2">
        <f>C8*1.05</f>
        <v>31500</v>
      </c>
      <c r="D11" s="56"/>
      <c r="E11" s="56"/>
      <c r="F11" s="56"/>
      <c r="G11" s="56"/>
    </row>
    <row r="12" spans="1:8" x14ac:dyDescent="0.45">
      <c r="A12" s="81"/>
      <c r="B12" s="68" t="s">
        <v>47</v>
      </c>
      <c r="C12" s="51">
        <f>(C11)*2*0.95</f>
        <v>59850</v>
      </c>
      <c r="D12" s="56"/>
      <c r="E12" s="56"/>
      <c r="F12" s="56"/>
      <c r="G12" s="56"/>
    </row>
    <row r="13" spans="1:8" x14ac:dyDescent="0.45">
      <c r="A13" s="81"/>
      <c r="B13" s="68" t="s">
        <v>48</v>
      </c>
      <c r="C13" s="51">
        <f>(C11)</f>
        <v>31500</v>
      </c>
      <c r="D13" s="56"/>
      <c r="E13" s="56"/>
      <c r="F13" s="56"/>
      <c r="G13" s="56"/>
    </row>
    <row r="14" spans="1:8" x14ac:dyDescent="0.45">
      <c r="A14" s="121" t="s">
        <v>13</v>
      </c>
      <c r="B14" s="122"/>
      <c r="C14" s="69">
        <f>SUM(C6,C9,C12)</f>
        <v>172520</v>
      </c>
      <c r="D14" s="56"/>
      <c r="E14" s="56"/>
      <c r="F14" s="56"/>
      <c r="G14" s="56"/>
    </row>
    <row r="15" spans="1:8" ht="27" customHeight="1" x14ac:dyDescent="0.45">
      <c r="A15" s="137" t="s">
        <v>17</v>
      </c>
      <c r="B15" s="138"/>
      <c r="C15" s="86" t="s">
        <v>18</v>
      </c>
      <c r="D15" s="86"/>
      <c r="E15" s="7">
        <v>5000</v>
      </c>
      <c r="F15" s="56"/>
      <c r="G15" s="56"/>
      <c r="H15" s="56"/>
    </row>
    <row r="16" spans="1:8" x14ac:dyDescent="0.45">
      <c r="A16" s="139"/>
      <c r="B16" s="140"/>
      <c r="C16" s="86" t="s">
        <v>19</v>
      </c>
      <c r="D16" s="86"/>
      <c r="E16" s="7">
        <v>3000</v>
      </c>
      <c r="F16" s="56"/>
      <c r="G16" s="56"/>
      <c r="H16" s="56"/>
    </row>
    <row r="17" spans="1:9" x14ac:dyDescent="0.45">
      <c r="A17" s="141"/>
      <c r="B17" s="142"/>
      <c r="C17" s="87" t="s">
        <v>20</v>
      </c>
      <c r="D17" s="87"/>
      <c r="E17" s="7">
        <v>3000</v>
      </c>
      <c r="F17" s="56"/>
      <c r="G17" s="56"/>
      <c r="H17" s="56"/>
    </row>
    <row r="18" spans="1:9" ht="23.15" x14ac:dyDescent="0.45">
      <c r="A18" s="20" t="s">
        <v>21</v>
      </c>
      <c r="B18" s="20" t="s">
        <v>22</v>
      </c>
      <c r="C18" s="21" t="s">
        <v>23</v>
      </c>
      <c r="D18" s="21" t="s">
        <v>24</v>
      </c>
      <c r="E18" s="21" t="s">
        <v>25</v>
      </c>
      <c r="F18" s="21" t="s">
        <v>26</v>
      </c>
      <c r="G18" s="20" t="s">
        <v>27</v>
      </c>
      <c r="H18" s="20" t="s">
        <v>29</v>
      </c>
    </row>
    <row r="19" spans="1:9" x14ac:dyDescent="0.45">
      <c r="A19" s="16" t="s">
        <v>30</v>
      </c>
      <c r="B19" s="7">
        <f>B20*2</f>
        <v>7000</v>
      </c>
      <c r="C19" s="7">
        <f t="shared" ref="C19:G19" si="0">C20*2</f>
        <v>5000</v>
      </c>
      <c r="D19" s="22">
        <f>D20</f>
        <v>1000</v>
      </c>
      <c r="E19" s="7">
        <f t="shared" si="0"/>
        <v>1500</v>
      </c>
      <c r="F19" s="7">
        <f t="shared" si="0"/>
        <v>1000</v>
      </c>
      <c r="G19" s="7">
        <f t="shared" si="0"/>
        <v>1000</v>
      </c>
      <c r="H19" s="7">
        <f>SUM(B19:G19)</f>
        <v>16500</v>
      </c>
    </row>
    <row r="20" spans="1:9" x14ac:dyDescent="0.45">
      <c r="A20" s="16" t="s">
        <v>31</v>
      </c>
      <c r="B20" s="7">
        <v>3500</v>
      </c>
      <c r="C20" s="7">
        <v>2500</v>
      </c>
      <c r="D20" s="22">
        <v>1000</v>
      </c>
      <c r="E20" s="22">
        <v>750</v>
      </c>
      <c r="F20" s="22">
        <v>500</v>
      </c>
      <c r="G20" s="7">
        <v>500</v>
      </c>
      <c r="H20" s="7">
        <f>SUM(B20:G20)</f>
        <v>8750</v>
      </c>
    </row>
    <row r="21" spans="1:9" x14ac:dyDescent="0.45">
      <c r="A21" s="73" t="s">
        <v>32</v>
      </c>
      <c r="B21" s="74"/>
      <c r="C21" s="74"/>
      <c r="D21" s="74"/>
      <c r="E21" s="74"/>
      <c r="F21" s="74"/>
      <c r="G21" s="74"/>
      <c r="H21" s="88"/>
    </row>
    <row r="22" spans="1:9" x14ac:dyDescent="0.45">
      <c r="A22" s="73" t="s">
        <v>79</v>
      </c>
      <c r="B22" s="74"/>
      <c r="C22" s="74"/>
      <c r="D22" s="74"/>
      <c r="E22" s="74"/>
      <c r="F22" s="74"/>
      <c r="G22" s="74"/>
      <c r="H22" s="88"/>
    </row>
    <row r="23" spans="1:9" x14ac:dyDescent="0.45">
      <c r="A23" s="73" t="s">
        <v>9</v>
      </c>
      <c r="B23" s="74"/>
      <c r="C23" s="74"/>
      <c r="D23" s="74"/>
      <c r="E23" s="74"/>
      <c r="F23" s="74"/>
      <c r="G23" s="74"/>
      <c r="H23" s="88"/>
    </row>
    <row r="24" spans="1:9" x14ac:dyDescent="0.45">
      <c r="A24" s="52"/>
      <c r="B24" s="52"/>
    </row>
    <row r="25" spans="1:9" x14ac:dyDescent="0.45">
      <c r="A25" s="52"/>
      <c r="B25" s="52"/>
    </row>
    <row r="26" spans="1:9" x14ac:dyDescent="0.45">
      <c r="A26" s="52"/>
      <c r="B26" s="52"/>
    </row>
    <row r="27" spans="1:9" x14ac:dyDescent="0.45">
      <c r="A27" s="52"/>
      <c r="B27" s="52"/>
    </row>
    <row r="31" spans="1:9" x14ac:dyDescent="0.45">
      <c r="I31" s="52"/>
    </row>
    <row r="32" spans="1:9" x14ac:dyDescent="0.45">
      <c r="I32" s="52"/>
    </row>
    <row r="33" spans="9:9" x14ac:dyDescent="0.45">
      <c r="I33" s="52"/>
    </row>
    <row r="34" spans="9:9" x14ac:dyDescent="0.45">
      <c r="I34" s="52"/>
    </row>
  </sheetData>
  <mergeCells count="14">
    <mergeCell ref="A1:H1"/>
    <mergeCell ref="A2:H2"/>
    <mergeCell ref="A5:A7"/>
    <mergeCell ref="A8:A10"/>
    <mergeCell ref="A11:A13"/>
    <mergeCell ref="A4:H4"/>
    <mergeCell ref="A23:H23"/>
    <mergeCell ref="A21:H21"/>
    <mergeCell ref="A22:H22"/>
    <mergeCell ref="A14:B14"/>
    <mergeCell ref="A15:B17"/>
    <mergeCell ref="C15:D15"/>
    <mergeCell ref="C16:D16"/>
    <mergeCell ref="C17:D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1032-0D3D-4EEB-9173-934641097A55}">
  <dimension ref="A1:I34"/>
  <sheetViews>
    <sheetView zoomScale="65" workbookViewId="0">
      <selection activeCell="G35" sqref="G35"/>
    </sheetView>
  </sheetViews>
  <sheetFormatPr defaultColWidth="18.85546875" defaultRowHeight="15.9" x14ac:dyDescent="0.45"/>
  <cols>
    <col min="2" max="2" width="43.140625" customWidth="1"/>
    <col min="3" max="3" width="15.42578125" bestFit="1" customWidth="1"/>
  </cols>
  <sheetData>
    <row r="1" spans="1:8" x14ac:dyDescent="0.45">
      <c r="A1" s="75" t="s">
        <v>115</v>
      </c>
      <c r="B1" s="76"/>
      <c r="C1" s="76"/>
      <c r="D1" s="76"/>
      <c r="E1" s="76"/>
      <c r="F1" s="76"/>
      <c r="G1" s="76"/>
      <c r="H1" s="77"/>
    </row>
    <row r="2" spans="1:8" ht="45.45" customHeight="1" x14ac:dyDescent="0.45">
      <c r="A2" s="72" t="s">
        <v>116</v>
      </c>
      <c r="B2" s="71"/>
      <c r="C2" s="71"/>
      <c r="D2" s="71"/>
      <c r="E2" s="71"/>
      <c r="F2" s="71"/>
      <c r="G2" s="71"/>
      <c r="H2" s="71"/>
    </row>
    <row r="3" spans="1:8" x14ac:dyDescent="0.45">
      <c r="A3" s="44" t="s">
        <v>75</v>
      </c>
      <c r="B3" s="44" t="s">
        <v>2</v>
      </c>
      <c r="C3" s="43" t="s">
        <v>64</v>
      </c>
      <c r="D3" s="56"/>
      <c r="E3" s="56"/>
      <c r="F3" s="56"/>
      <c r="G3" s="56"/>
    </row>
    <row r="4" spans="1:8" x14ac:dyDescent="0.45">
      <c r="A4" s="143" t="s">
        <v>114</v>
      </c>
      <c r="B4" s="144"/>
      <c r="C4" s="144"/>
      <c r="D4" s="144"/>
      <c r="E4" s="144"/>
      <c r="F4" s="144"/>
      <c r="G4" s="144"/>
      <c r="H4" s="144"/>
    </row>
    <row r="5" spans="1:8" ht="23.15" x14ac:dyDescent="0.45">
      <c r="A5" s="81" t="s">
        <v>38</v>
      </c>
      <c r="B5" s="53" t="s">
        <v>76</v>
      </c>
      <c r="C5" s="50">
        <v>29300</v>
      </c>
      <c r="D5" s="56"/>
      <c r="E5" s="56"/>
      <c r="F5" s="56"/>
      <c r="G5" s="56"/>
    </row>
    <row r="6" spans="1:8" x14ac:dyDescent="0.45">
      <c r="A6" s="81"/>
      <c r="B6" s="68" t="s">
        <v>47</v>
      </c>
      <c r="C6" s="51">
        <f>(C5)*2*0.95</f>
        <v>55670</v>
      </c>
      <c r="D6" s="56"/>
      <c r="E6" s="56"/>
      <c r="F6" s="56"/>
      <c r="G6" s="56"/>
    </row>
    <row r="7" spans="1:8" x14ac:dyDescent="0.45">
      <c r="A7" s="81"/>
      <c r="B7" s="68" t="s">
        <v>48</v>
      </c>
      <c r="C7" s="51">
        <f>(C5)</f>
        <v>29300</v>
      </c>
      <c r="D7" s="56"/>
      <c r="E7" s="56"/>
      <c r="F7" s="56"/>
      <c r="G7" s="56"/>
    </row>
    <row r="8" spans="1:8" ht="23.15" x14ac:dyDescent="0.45">
      <c r="A8" s="81" t="s">
        <v>77</v>
      </c>
      <c r="B8" s="53" t="s">
        <v>76</v>
      </c>
      <c r="C8" s="2">
        <v>30000</v>
      </c>
      <c r="D8" s="56"/>
      <c r="E8" s="56"/>
      <c r="F8" s="56"/>
      <c r="G8" s="56"/>
    </row>
    <row r="9" spans="1:8" x14ac:dyDescent="0.45">
      <c r="A9" s="81"/>
      <c r="B9" s="68" t="s">
        <v>47</v>
      </c>
      <c r="C9" s="51">
        <f>(C8)*2*0.95</f>
        <v>57000</v>
      </c>
      <c r="D9" s="56"/>
      <c r="E9" s="56"/>
      <c r="F9" s="56"/>
      <c r="G9" s="56"/>
    </row>
    <row r="10" spans="1:8" x14ac:dyDescent="0.45">
      <c r="A10" s="81"/>
      <c r="B10" s="68" t="s">
        <v>48</v>
      </c>
      <c r="C10" s="51">
        <f>(C8)</f>
        <v>30000</v>
      </c>
      <c r="D10" s="56"/>
      <c r="E10" s="56"/>
      <c r="F10" s="56"/>
      <c r="G10" s="56"/>
    </row>
    <row r="11" spans="1:8" ht="23.15" x14ac:dyDescent="0.45">
      <c r="A11" s="81" t="s">
        <v>78</v>
      </c>
      <c r="B11" s="53" t="s">
        <v>76</v>
      </c>
      <c r="C11" s="2">
        <f>C8*1.05</f>
        <v>31500</v>
      </c>
      <c r="D11" s="56"/>
      <c r="E11" s="56"/>
      <c r="F11" s="56"/>
      <c r="G11" s="56"/>
    </row>
    <row r="12" spans="1:8" x14ac:dyDescent="0.45">
      <c r="A12" s="81"/>
      <c r="B12" s="68" t="s">
        <v>47</v>
      </c>
      <c r="C12" s="51">
        <f>(C11)*2*0.95</f>
        <v>59850</v>
      </c>
      <c r="D12" s="56"/>
      <c r="E12" s="56"/>
      <c r="F12" s="56"/>
      <c r="G12" s="56"/>
    </row>
    <row r="13" spans="1:8" x14ac:dyDescent="0.45">
      <c r="A13" s="81"/>
      <c r="B13" s="68" t="s">
        <v>48</v>
      </c>
      <c r="C13" s="51">
        <f>(C11)</f>
        <v>31500</v>
      </c>
      <c r="D13" s="56"/>
      <c r="E13" s="56"/>
      <c r="F13" s="56"/>
      <c r="G13" s="56"/>
    </row>
    <row r="14" spans="1:8" x14ac:dyDescent="0.45">
      <c r="A14" s="121" t="s">
        <v>13</v>
      </c>
      <c r="B14" s="122"/>
      <c r="C14" s="69">
        <f>SUM(C6,C9,C12)</f>
        <v>172520</v>
      </c>
      <c r="D14" s="56"/>
      <c r="E14" s="56"/>
      <c r="F14" s="56"/>
      <c r="G14" s="56"/>
    </row>
    <row r="15" spans="1:8" ht="27" customHeight="1" x14ac:dyDescent="0.45">
      <c r="A15" s="137" t="s">
        <v>17</v>
      </c>
      <c r="B15" s="138"/>
      <c r="C15" s="86" t="s">
        <v>18</v>
      </c>
      <c r="D15" s="86"/>
      <c r="E15" s="7">
        <v>5000</v>
      </c>
      <c r="F15" s="56"/>
      <c r="G15" s="56"/>
      <c r="H15" s="56"/>
    </row>
    <row r="16" spans="1:8" x14ac:dyDescent="0.45">
      <c r="A16" s="139"/>
      <c r="B16" s="140"/>
      <c r="C16" s="86" t="s">
        <v>19</v>
      </c>
      <c r="D16" s="86"/>
      <c r="E16" s="7">
        <v>3000</v>
      </c>
      <c r="F16" s="56"/>
      <c r="G16" s="56"/>
      <c r="H16" s="56"/>
    </row>
    <row r="17" spans="1:9" x14ac:dyDescent="0.45">
      <c r="A17" s="141"/>
      <c r="B17" s="142"/>
      <c r="C17" s="87" t="s">
        <v>20</v>
      </c>
      <c r="D17" s="87"/>
      <c r="E17" s="7">
        <v>3000</v>
      </c>
      <c r="F17" s="56"/>
      <c r="G17" s="56"/>
      <c r="H17" s="56"/>
    </row>
    <row r="18" spans="1:9" ht="23.15" x14ac:dyDescent="0.45">
      <c r="A18" s="20" t="s">
        <v>21</v>
      </c>
      <c r="B18" s="20" t="s">
        <v>22</v>
      </c>
      <c r="C18" s="21" t="s">
        <v>23</v>
      </c>
      <c r="D18" s="21" t="s">
        <v>24</v>
      </c>
      <c r="E18" s="21" t="s">
        <v>25</v>
      </c>
      <c r="F18" s="21" t="s">
        <v>26</v>
      </c>
      <c r="G18" s="20" t="s">
        <v>27</v>
      </c>
      <c r="H18" s="20" t="s">
        <v>29</v>
      </c>
    </row>
    <row r="19" spans="1:9" x14ac:dyDescent="0.45">
      <c r="A19" s="16" t="s">
        <v>30</v>
      </c>
      <c r="B19" s="7">
        <f>B20*2</f>
        <v>7000</v>
      </c>
      <c r="C19" s="7">
        <f t="shared" ref="C19:G19" si="0">C20*2</f>
        <v>5000</v>
      </c>
      <c r="D19" s="22">
        <f>D20</f>
        <v>1000</v>
      </c>
      <c r="E19" s="7">
        <f t="shared" si="0"/>
        <v>1500</v>
      </c>
      <c r="F19" s="7">
        <f t="shared" si="0"/>
        <v>1000</v>
      </c>
      <c r="G19" s="7">
        <f t="shared" si="0"/>
        <v>1000</v>
      </c>
      <c r="H19" s="7">
        <f>SUM(B19:G19)</f>
        <v>16500</v>
      </c>
    </row>
    <row r="20" spans="1:9" x14ac:dyDescent="0.45">
      <c r="A20" s="16" t="s">
        <v>31</v>
      </c>
      <c r="B20" s="7">
        <v>3500</v>
      </c>
      <c r="C20" s="7">
        <v>2500</v>
      </c>
      <c r="D20" s="22">
        <v>1000</v>
      </c>
      <c r="E20" s="22">
        <v>750</v>
      </c>
      <c r="F20" s="22">
        <v>500</v>
      </c>
      <c r="G20" s="7">
        <v>500</v>
      </c>
      <c r="H20" s="7">
        <f>SUM(B20:G20)</f>
        <v>8750</v>
      </c>
    </row>
    <row r="21" spans="1:9" x14ac:dyDescent="0.45">
      <c r="A21" s="73" t="s">
        <v>32</v>
      </c>
      <c r="B21" s="74"/>
      <c r="C21" s="74"/>
      <c r="D21" s="74"/>
      <c r="E21" s="74"/>
      <c r="F21" s="74"/>
      <c r="G21" s="74"/>
      <c r="H21" s="88"/>
    </row>
    <row r="22" spans="1:9" x14ac:dyDescent="0.45">
      <c r="A22" s="73" t="s">
        <v>79</v>
      </c>
      <c r="B22" s="74"/>
      <c r="C22" s="74"/>
      <c r="D22" s="74"/>
      <c r="E22" s="74"/>
      <c r="F22" s="74"/>
      <c r="G22" s="74"/>
      <c r="H22" s="88"/>
    </row>
    <row r="23" spans="1:9" x14ac:dyDescent="0.45">
      <c r="A23" s="73" t="s">
        <v>9</v>
      </c>
      <c r="B23" s="74"/>
      <c r="C23" s="74"/>
      <c r="D23" s="74"/>
      <c r="E23" s="74"/>
      <c r="F23" s="74"/>
      <c r="G23" s="74"/>
      <c r="H23" s="88"/>
    </row>
    <row r="24" spans="1:9" x14ac:dyDescent="0.45">
      <c r="A24" s="52"/>
      <c r="B24" s="52"/>
    </row>
    <row r="25" spans="1:9" x14ac:dyDescent="0.45">
      <c r="A25" s="52"/>
      <c r="B25" s="52"/>
    </row>
    <row r="26" spans="1:9" x14ac:dyDescent="0.45">
      <c r="A26" s="52"/>
      <c r="B26" s="52"/>
    </row>
    <row r="27" spans="1:9" x14ac:dyDescent="0.45">
      <c r="A27" s="52"/>
      <c r="B27" s="52"/>
    </row>
    <row r="31" spans="1:9" x14ac:dyDescent="0.45">
      <c r="I31" s="52"/>
    </row>
    <row r="32" spans="1:9" x14ac:dyDescent="0.45">
      <c r="I32" s="52"/>
    </row>
    <row r="33" spans="9:9" x14ac:dyDescent="0.45">
      <c r="I33" s="52"/>
    </row>
    <row r="34" spans="9:9" x14ac:dyDescent="0.45">
      <c r="I34" s="52"/>
    </row>
  </sheetData>
  <mergeCells count="14">
    <mergeCell ref="A11:A13"/>
    <mergeCell ref="A1:H1"/>
    <mergeCell ref="A2:H2"/>
    <mergeCell ref="A4:H4"/>
    <mergeCell ref="A5:A7"/>
    <mergeCell ref="A8:A10"/>
    <mergeCell ref="A22:H22"/>
    <mergeCell ref="A23:H23"/>
    <mergeCell ref="A14:B14"/>
    <mergeCell ref="A15:B17"/>
    <mergeCell ref="C15:D15"/>
    <mergeCell ref="C16:D16"/>
    <mergeCell ref="C17:D17"/>
    <mergeCell ref="A21:H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A7E0-9F35-4070-89C3-FE28FC76EFA7}">
  <dimension ref="A1:I34"/>
  <sheetViews>
    <sheetView zoomScale="65" workbookViewId="0">
      <selection activeCell="F31" sqref="F31"/>
    </sheetView>
  </sheetViews>
  <sheetFormatPr defaultColWidth="18.85546875" defaultRowHeight="15.9" x14ac:dyDescent="0.45"/>
  <cols>
    <col min="2" max="2" width="43.140625" customWidth="1"/>
    <col min="3" max="3" width="15.42578125" bestFit="1" customWidth="1"/>
  </cols>
  <sheetData>
    <row r="1" spans="1:8" x14ac:dyDescent="0.45">
      <c r="A1" s="75" t="s">
        <v>117</v>
      </c>
      <c r="B1" s="76"/>
      <c r="C1" s="76"/>
      <c r="D1" s="76"/>
      <c r="E1" s="76"/>
      <c r="F1" s="76"/>
      <c r="G1" s="76"/>
      <c r="H1" s="77"/>
    </row>
    <row r="2" spans="1:8" ht="45.45" customHeight="1" x14ac:dyDescent="0.45">
      <c r="A2" s="72" t="s">
        <v>118</v>
      </c>
      <c r="B2" s="71"/>
      <c r="C2" s="71"/>
      <c r="D2" s="71"/>
      <c r="E2" s="71"/>
      <c r="F2" s="71"/>
      <c r="G2" s="71"/>
      <c r="H2" s="71"/>
    </row>
    <row r="3" spans="1:8" x14ac:dyDescent="0.45">
      <c r="A3" s="44" t="s">
        <v>75</v>
      </c>
      <c r="B3" s="44" t="s">
        <v>2</v>
      </c>
      <c r="C3" s="43" t="s">
        <v>64</v>
      </c>
      <c r="D3" s="56"/>
      <c r="E3" s="56"/>
      <c r="F3" s="56"/>
      <c r="G3" s="56"/>
    </row>
    <row r="4" spans="1:8" x14ac:dyDescent="0.45">
      <c r="A4" s="143" t="s">
        <v>114</v>
      </c>
      <c r="B4" s="144"/>
      <c r="C4" s="144"/>
      <c r="D4" s="144"/>
      <c r="E4" s="144"/>
      <c r="F4" s="144"/>
      <c r="G4" s="144"/>
      <c r="H4" s="144"/>
    </row>
    <row r="5" spans="1:8" ht="23.15" x14ac:dyDescent="0.45">
      <c r="A5" s="81" t="s">
        <v>38</v>
      </c>
      <c r="B5" s="53" t="s">
        <v>76</v>
      </c>
      <c r="C5" s="50">
        <v>29300</v>
      </c>
      <c r="D5" s="56"/>
      <c r="E5" s="56"/>
      <c r="F5" s="56"/>
      <c r="G5" s="56"/>
    </row>
    <row r="6" spans="1:8" x14ac:dyDescent="0.45">
      <c r="A6" s="81"/>
      <c r="B6" s="68" t="s">
        <v>47</v>
      </c>
      <c r="C6" s="51">
        <f>(C5)*2*0.95</f>
        <v>55670</v>
      </c>
      <c r="D6" s="56"/>
      <c r="E6" s="56"/>
      <c r="F6" s="56"/>
      <c r="G6" s="56"/>
    </row>
    <row r="7" spans="1:8" x14ac:dyDescent="0.45">
      <c r="A7" s="81"/>
      <c r="B7" s="68" t="s">
        <v>48</v>
      </c>
      <c r="C7" s="51">
        <f>(C5)</f>
        <v>29300</v>
      </c>
      <c r="D7" s="56"/>
      <c r="E7" s="56"/>
      <c r="F7" s="56"/>
      <c r="G7" s="56"/>
    </row>
    <row r="8" spans="1:8" ht="23.15" x14ac:dyDescent="0.45">
      <c r="A8" s="81" t="s">
        <v>77</v>
      </c>
      <c r="B8" s="53" t="s">
        <v>76</v>
      </c>
      <c r="C8" s="2">
        <v>30000</v>
      </c>
      <c r="D8" s="56"/>
      <c r="E8" s="56"/>
      <c r="F8" s="56"/>
      <c r="G8" s="56"/>
    </row>
    <row r="9" spans="1:8" x14ac:dyDescent="0.45">
      <c r="A9" s="81"/>
      <c r="B9" s="68" t="s">
        <v>47</v>
      </c>
      <c r="C9" s="51">
        <f>(C8)*2*0.95</f>
        <v>57000</v>
      </c>
      <c r="D9" s="56"/>
      <c r="E9" s="56"/>
      <c r="F9" s="56"/>
      <c r="G9" s="56"/>
    </row>
    <row r="10" spans="1:8" x14ac:dyDescent="0.45">
      <c r="A10" s="81"/>
      <c r="B10" s="68" t="s">
        <v>48</v>
      </c>
      <c r="C10" s="51">
        <f>(C8)</f>
        <v>30000</v>
      </c>
      <c r="D10" s="56"/>
      <c r="E10" s="56"/>
      <c r="F10" s="56"/>
      <c r="G10" s="56"/>
    </row>
    <row r="11" spans="1:8" ht="23.15" x14ac:dyDescent="0.45">
      <c r="A11" s="81" t="s">
        <v>78</v>
      </c>
      <c r="B11" s="53" t="s">
        <v>76</v>
      </c>
      <c r="C11" s="2">
        <f>C8*1.05</f>
        <v>31500</v>
      </c>
      <c r="D11" s="56"/>
      <c r="E11" s="56"/>
      <c r="F11" s="56"/>
      <c r="G11" s="56"/>
    </row>
    <row r="12" spans="1:8" x14ac:dyDescent="0.45">
      <c r="A12" s="81"/>
      <c r="B12" s="68" t="s">
        <v>47</v>
      </c>
      <c r="C12" s="51">
        <f>(C11)*2*0.95</f>
        <v>59850</v>
      </c>
      <c r="D12" s="56"/>
      <c r="E12" s="56"/>
      <c r="F12" s="56"/>
      <c r="G12" s="56"/>
    </row>
    <row r="13" spans="1:8" x14ac:dyDescent="0.45">
      <c r="A13" s="81"/>
      <c r="B13" s="68" t="s">
        <v>48</v>
      </c>
      <c r="C13" s="51">
        <f>(C11)</f>
        <v>31500</v>
      </c>
      <c r="D13" s="56"/>
      <c r="E13" s="56"/>
      <c r="F13" s="56"/>
      <c r="G13" s="56"/>
    </row>
    <row r="14" spans="1:8" x14ac:dyDescent="0.45">
      <c r="A14" s="121" t="s">
        <v>13</v>
      </c>
      <c r="B14" s="122"/>
      <c r="C14" s="69">
        <f>SUM(C6,C9,C12)</f>
        <v>172520</v>
      </c>
      <c r="D14" s="56"/>
      <c r="E14" s="56"/>
      <c r="F14" s="56"/>
      <c r="G14" s="56"/>
    </row>
    <row r="15" spans="1:8" ht="27" customHeight="1" x14ac:dyDescent="0.45">
      <c r="A15" s="137" t="s">
        <v>17</v>
      </c>
      <c r="B15" s="138"/>
      <c r="C15" s="86" t="s">
        <v>18</v>
      </c>
      <c r="D15" s="86"/>
      <c r="E15" s="7">
        <v>5000</v>
      </c>
      <c r="F15" s="56"/>
      <c r="G15" s="56"/>
      <c r="H15" s="56"/>
    </row>
    <row r="16" spans="1:8" x14ac:dyDescent="0.45">
      <c r="A16" s="139"/>
      <c r="B16" s="140"/>
      <c r="C16" s="86" t="s">
        <v>19</v>
      </c>
      <c r="D16" s="86"/>
      <c r="E16" s="7">
        <v>3000</v>
      </c>
      <c r="F16" s="56"/>
      <c r="G16" s="56"/>
      <c r="H16" s="56"/>
    </row>
    <row r="17" spans="1:9" x14ac:dyDescent="0.45">
      <c r="A17" s="141"/>
      <c r="B17" s="142"/>
      <c r="C17" s="87" t="s">
        <v>20</v>
      </c>
      <c r="D17" s="87"/>
      <c r="E17" s="7">
        <v>3000</v>
      </c>
      <c r="F17" s="56"/>
      <c r="G17" s="56"/>
      <c r="H17" s="56"/>
    </row>
    <row r="18" spans="1:9" ht="23.15" x14ac:dyDescent="0.45">
      <c r="A18" s="20" t="s">
        <v>21</v>
      </c>
      <c r="B18" s="20" t="s">
        <v>22</v>
      </c>
      <c r="C18" s="21" t="s">
        <v>23</v>
      </c>
      <c r="D18" s="21" t="s">
        <v>24</v>
      </c>
      <c r="E18" s="21" t="s">
        <v>25</v>
      </c>
      <c r="F18" s="21" t="s">
        <v>26</v>
      </c>
      <c r="G18" s="20" t="s">
        <v>27</v>
      </c>
      <c r="H18" s="20" t="s">
        <v>29</v>
      </c>
    </row>
    <row r="19" spans="1:9" x14ac:dyDescent="0.45">
      <c r="A19" s="16" t="s">
        <v>30</v>
      </c>
      <c r="B19" s="7">
        <f>B20*2</f>
        <v>7000</v>
      </c>
      <c r="C19" s="7">
        <f t="shared" ref="C19:G19" si="0">C20*2</f>
        <v>5000</v>
      </c>
      <c r="D19" s="22">
        <f>D20</f>
        <v>1000</v>
      </c>
      <c r="E19" s="7">
        <f t="shared" si="0"/>
        <v>1500</v>
      </c>
      <c r="F19" s="7">
        <f t="shared" si="0"/>
        <v>1000</v>
      </c>
      <c r="G19" s="7">
        <f t="shared" si="0"/>
        <v>1000</v>
      </c>
      <c r="H19" s="7">
        <f>SUM(B19:G19)</f>
        <v>16500</v>
      </c>
    </row>
    <row r="20" spans="1:9" x14ac:dyDescent="0.45">
      <c r="A20" s="16" t="s">
        <v>31</v>
      </c>
      <c r="B20" s="7">
        <v>3500</v>
      </c>
      <c r="C20" s="7">
        <v>2500</v>
      </c>
      <c r="D20" s="22">
        <v>1000</v>
      </c>
      <c r="E20" s="22">
        <v>750</v>
      </c>
      <c r="F20" s="22">
        <v>500</v>
      </c>
      <c r="G20" s="7">
        <v>500</v>
      </c>
      <c r="H20" s="7">
        <f>SUM(B20:G20)</f>
        <v>8750</v>
      </c>
    </row>
    <row r="21" spans="1:9" x14ac:dyDescent="0.45">
      <c r="A21" s="73" t="s">
        <v>32</v>
      </c>
      <c r="B21" s="74"/>
      <c r="C21" s="74"/>
      <c r="D21" s="74"/>
      <c r="E21" s="74"/>
      <c r="F21" s="74"/>
      <c r="G21" s="74"/>
      <c r="H21" s="88"/>
    </row>
    <row r="22" spans="1:9" x14ac:dyDescent="0.45">
      <c r="A22" s="73" t="s">
        <v>79</v>
      </c>
      <c r="B22" s="74"/>
      <c r="C22" s="74"/>
      <c r="D22" s="74"/>
      <c r="E22" s="74"/>
      <c r="F22" s="74"/>
      <c r="G22" s="74"/>
      <c r="H22" s="88"/>
    </row>
    <row r="23" spans="1:9" x14ac:dyDescent="0.45">
      <c r="A23" s="73" t="s">
        <v>9</v>
      </c>
      <c r="B23" s="74"/>
      <c r="C23" s="74"/>
      <c r="D23" s="74"/>
      <c r="E23" s="74"/>
      <c r="F23" s="74"/>
      <c r="G23" s="74"/>
      <c r="H23" s="88"/>
    </row>
    <row r="24" spans="1:9" x14ac:dyDescent="0.45">
      <c r="A24" s="52"/>
      <c r="B24" s="52"/>
    </row>
    <row r="25" spans="1:9" x14ac:dyDescent="0.45">
      <c r="A25" s="52"/>
      <c r="B25" s="52"/>
    </row>
    <row r="26" spans="1:9" x14ac:dyDescent="0.45">
      <c r="A26" s="52"/>
      <c r="B26" s="52"/>
    </row>
    <row r="27" spans="1:9" x14ac:dyDescent="0.45">
      <c r="A27" s="52"/>
      <c r="B27" s="52"/>
    </row>
    <row r="31" spans="1:9" x14ac:dyDescent="0.45">
      <c r="I31" s="52"/>
    </row>
    <row r="32" spans="1:9" x14ac:dyDescent="0.45">
      <c r="I32" s="52"/>
    </row>
    <row r="33" spans="9:9" x14ac:dyDescent="0.45">
      <c r="I33" s="52"/>
    </row>
    <row r="34" spans="9:9" x14ac:dyDescent="0.45">
      <c r="I34" s="52"/>
    </row>
  </sheetData>
  <mergeCells count="14">
    <mergeCell ref="A11:A13"/>
    <mergeCell ref="A1:H1"/>
    <mergeCell ref="A2:H2"/>
    <mergeCell ref="A4:H4"/>
    <mergeCell ref="A5:A7"/>
    <mergeCell ref="A8:A10"/>
    <mergeCell ref="A22:H22"/>
    <mergeCell ref="A23:H23"/>
    <mergeCell ref="A14:B14"/>
    <mergeCell ref="A15:B17"/>
    <mergeCell ref="C15:D15"/>
    <mergeCell ref="C16:D16"/>
    <mergeCell ref="C17:D17"/>
    <mergeCell ref="A21:H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W61"/>
  <sheetViews>
    <sheetView zoomScale="87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23" x14ac:dyDescent="0.45">
      <c r="A1" s="71" t="s">
        <v>119</v>
      </c>
      <c r="B1" s="71"/>
      <c r="C1" s="71"/>
      <c r="D1" s="71"/>
      <c r="E1" s="71"/>
      <c r="F1" s="71"/>
      <c r="G1" s="71"/>
      <c r="H1" s="71"/>
      <c r="I1" s="71"/>
    </row>
    <row r="2" spans="1:23" ht="33" customHeight="1" x14ac:dyDescent="0.45">
      <c r="A2" s="72" t="s">
        <v>120</v>
      </c>
      <c r="B2" s="71"/>
      <c r="C2" s="71"/>
      <c r="D2" s="71"/>
      <c r="E2" s="71"/>
      <c r="F2" s="71"/>
      <c r="G2" s="71"/>
      <c r="H2" s="71"/>
      <c r="I2" s="71"/>
    </row>
    <row r="3" spans="1:23" ht="65.150000000000006" customHeight="1" x14ac:dyDescent="0.45">
      <c r="A3" s="43" t="s">
        <v>1</v>
      </c>
      <c r="B3" s="44" t="s">
        <v>2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23" ht="33" customHeight="1" x14ac:dyDescent="0.45">
      <c r="A4" s="78" t="s">
        <v>0</v>
      </c>
      <c r="B4" s="79"/>
      <c r="C4" s="79"/>
      <c r="D4" s="79"/>
      <c r="E4" s="79"/>
      <c r="F4" s="79"/>
      <c r="G4" s="79"/>
      <c r="H4" s="79"/>
      <c r="I4" s="79"/>
    </row>
    <row r="5" spans="1:23" x14ac:dyDescent="0.45">
      <c r="A5" s="81" t="s">
        <v>38</v>
      </c>
      <c r="B5" s="27" t="s">
        <v>10</v>
      </c>
      <c r="C5" s="2">
        <v>72100</v>
      </c>
      <c r="D5" s="2">
        <f>C5</f>
        <v>72100</v>
      </c>
      <c r="E5" s="2">
        <f t="shared" ref="E5:I5" si="0">D5</f>
        <v>72100</v>
      </c>
      <c r="F5" s="2">
        <f t="shared" si="0"/>
        <v>72100</v>
      </c>
      <c r="G5" s="2">
        <f t="shared" si="0"/>
        <v>72100</v>
      </c>
      <c r="H5" s="2">
        <f t="shared" si="0"/>
        <v>72100</v>
      </c>
      <c r="I5" s="2">
        <f t="shared" si="0"/>
        <v>72100</v>
      </c>
      <c r="J5" s="19"/>
      <c r="K5" s="19"/>
      <c r="L5" s="19"/>
    </row>
    <row r="6" spans="1:23" x14ac:dyDescent="0.45">
      <c r="A6" s="82"/>
      <c r="B6" s="27" t="s">
        <v>11</v>
      </c>
      <c r="C6" s="2">
        <v>13000</v>
      </c>
      <c r="D6" s="2">
        <v>11000</v>
      </c>
      <c r="E6" s="2">
        <v>9000</v>
      </c>
      <c r="F6" s="2">
        <v>7000</v>
      </c>
      <c r="G6" s="2">
        <v>5000</v>
      </c>
      <c r="H6" s="2">
        <v>3000</v>
      </c>
      <c r="I6" s="2">
        <v>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45">
      <c r="A7" s="82"/>
      <c r="B7" s="54" t="s">
        <v>44</v>
      </c>
      <c r="C7" s="55">
        <v>10500</v>
      </c>
      <c r="D7" s="55">
        <f>C7</f>
        <v>10500</v>
      </c>
      <c r="E7" s="55">
        <f t="shared" ref="E7:I7" si="1">D7</f>
        <v>10500</v>
      </c>
      <c r="F7" s="55">
        <f t="shared" si="1"/>
        <v>10500</v>
      </c>
      <c r="G7" s="55">
        <f t="shared" si="1"/>
        <v>10500</v>
      </c>
      <c r="H7" s="55">
        <f t="shared" si="1"/>
        <v>10500</v>
      </c>
      <c r="I7" s="55">
        <f t="shared" si="1"/>
        <v>10500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45">
      <c r="A8" s="82"/>
      <c r="B8" s="54" t="s">
        <v>47</v>
      </c>
      <c r="C8" s="55">
        <f>(((C5-C6)*0.95)*2)-C7*2</f>
        <v>91290</v>
      </c>
      <c r="D8" s="55">
        <f t="shared" ref="D8:I8" si="2">(((D5-D6)*0.95)*2)-D7*2</f>
        <v>95090</v>
      </c>
      <c r="E8" s="55">
        <f t="shared" si="2"/>
        <v>98890</v>
      </c>
      <c r="F8" s="55">
        <f t="shared" si="2"/>
        <v>102690</v>
      </c>
      <c r="G8" s="55">
        <f t="shared" si="2"/>
        <v>106490</v>
      </c>
      <c r="H8" s="55">
        <f t="shared" si="2"/>
        <v>110290</v>
      </c>
      <c r="I8" s="55">
        <f t="shared" si="2"/>
        <v>115990</v>
      </c>
      <c r="J8" s="19"/>
      <c r="K8" s="19"/>
      <c r="L8" s="19"/>
      <c r="M8" s="19"/>
      <c r="N8" s="19"/>
    </row>
    <row r="9" spans="1:23" x14ac:dyDescent="0.45">
      <c r="A9" s="82"/>
      <c r="B9" s="54" t="s">
        <v>48</v>
      </c>
      <c r="C9" s="55">
        <f>(C5-C6)-C7</f>
        <v>48600</v>
      </c>
      <c r="D9" s="55">
        <f t="shared" ref="D9:I9" si="3">(D5-D6)-D7</f>
        <v>50600</v>
      </c>
      <c r="E9" s="55">
        <f t="shared" si="3"/>
        <v>52600</v>
      </c>
      <c r="F9" s="55">
        <f t="shared" si="3"/>
        <v>54600</v>
      </c>
      <c r="G9" s="55">
        <f t="shared" si="3"/>
        <v>56600</v>
      </c>
      <c r="H9" s="55">
        <f t="shared" si="3"/>
        <v>58600</v>
      </c>
      <c r="I9" s="55">
        <f t="shared" si="3"/>
        <v>61600</v>
      </c>
      <c r="J9" s="19"/>
      <c r="K9" s="19"/>
      <c r="L9" s="19"/>
      <c r="M9" s="19"/>
      <c r="N9" s="19"/>
      <c r="O9" s="19"/>
    </row>
    <row r="10" spans="1:23" ht="16" customHeight="1" x14ac:dyDescent="0.45">
      <c r="A10" s="81" t="s">
        <v>39</v>
      </c>
      <c r="B10" s="27" t="s">
        <v>12</v>
      </c>
      <c r="C10" s="2">
        <v>74050</v>
      </c>
      <c r="D10" s="2">
        <f t="shared" ref="D10:G10" si="4">C10</f>
        <v>74050</v>
      </c>
      <c r="E10" s="2">
        <f t="shared" si="4"/>
        <v>74050</v>
      </c>
      <c r="F10" s="2">
        <f t="shared" si="4"/>
        <v>74050</v>
      </c>
      <c r="G10" s="2">
        <f t="shared" si="4"/>
        <v>74050</v>
      </c>
      <c r="H10" s="2">
        <f>G10</f>
        <v>74050</v>
      </c>
      <c r="I10" s="2">
        <f t="shared" ref="I10" si="5">H10</f>
        <v>74050</v>
      </c>
    </row>
    <row r="11" spans="1:23" x14ac:dyDescent="0.45">
      <c r="A11" s="82"/>
      <c r="B11" s="27" t="s">
        <v>11</v>
      </c>
      <c r="C11" s="2">
        <f t="shared" ref="C11:I11" si="6">C6</f>
        <v>13000</v>
      </c>
      <c r="D11" s="2">
        <f t="shared" si="6"/>
        <v>11000</v>
      </c>
      <c r="E11" s="2">
        <f t="shared" si="6"/>
        <v>9000</v>
      </c>
      <c r="F11" s="2">
        <f t="shared" si="6"/>
        <v>7000</v>
      </c>
      <c r="G11" s="2">
        <f t="shared" si="6"/>
        <v>5000</v>
      </c>
      <c r="H11" s="2">
        <f t="shared" si="6"/>
        <v>3000</v>
      </c>
      <c r="I11" s="2">
        <f t="shared" si="6"/>
        <v>0</v>
      </c>
      <c r="J11" s="19"/>
      <c r="K11" s="19"/>
      <c r="L11" s="19"/>
      <c r="M11" s="19"/>
      <c r="N11" s="19"/>
      <c r="O11" s="19"/>
    </row>
    <row r="12" spans="1:23" x14ac:dyDescent="0.45">
      <c r="A12" s="82"/>
      <c r="B12" s="58" t="s">
        <v>44</v>
      </c>
      <c r="C12" s="59">
        <f>C7</f>
        <v>10500</v>
      </c>
      <c r="D12" s="59">
        <f>C12</f>
        <v>10500</v>
      </c>
      <c r="E12" s="59">
        <f t="shared" ref="E12:I12" si="7">D12</f>
        <v>10500</v>
      </c>
      <c r="F12" s="59">
        <f t="shared" si="7"/>
        <v>10500</v>
      </c>
      <c r="G12" s="59">
        <f t="shared" si="7"/>
        <v>10500</v>
      </c>
      <c r="H12" s="59">
        <f t="shared" si="7"/>
        <v>10500</v>
      </c>
      <c r="I12" s="59">
        <f t="shared" si="7"/>
        <v>10500</v>
      </c>
      <c r="J12" s="19"/>
      <c r="K12" s="19"/>
      <c r="L12" s="19"/>
      <c r="M12" s="19"/>
      <c r="N12" s="19"/>
      <c r="O12" s="19"/>
    </row>
    <row r="13" spans="1:23" x14ac:dyDescent="0.45">
      <c r="A13" s="82"/>
      <c r="B13" s="58" t="s">
        <v>47</v>
      </c>
      <c r="C13" s="59">
        <f>(((C10-C11)*0.95)*2)-C12*2</f>
        <v>94995</v>
      </c>
      <c r="D13" s="59">
        <f t="shared" ref="D13:I13" si="8">(((D10-D11)*0.95)*2)-D12*2</f>
        <v>98795</v>
      </c>
      <c r="E13" s="59">
        <f t="shared" si="8"/>
        <v>102595</v>
      </c>
      <c r="F13" s="59">
        <f t="shared" si="8"/>
        <v>106395</v>
      </c>
      <c r="G13" s="59">
        <f t="shared" si="8"/>
        <v>110195</v>
      </c>
      <c r="H13" s="59">
        <f t="shared" si="8"/>
        <v>113995</v>
      </c>
      <c r="I13" s="59">
        <f t="shared" si="8"/>
        <v>119695</v>
      </c>
    </row>
    <row r="14" spans="1:23" x14ac:dyDescent="0.45">
      <c r="A14" s="82"/>
      <c r="B14" s="58" t="s">
        <v>48</v>
      </c>
      <c r="C14" s="59">
        <f>(C10-C11)-C12</f>
        <v>50550</v>
      </c>
      <c r="D14" s="59">
        <f t="shared" ref="D14:I14" si="9">(D10-D11)-D12</f>
        <v>52550</v>
      </c>
      <c r="E14" s="59">
        <f t="shared" si="9"/>
        <v>54550</v>
      </c>
      <c r="F14" s="59">
        <f t="shared" si="9"/>
        <v>56550</v>
      </c>
      <c r="G14" s="59">
        <f t="shared" si="9"/>
        <v>58550</v>
      </c>
      <c r="H14" s="59">
        <f t="shared" si="9"/>
        <v>60550</v>
      </c>
      <c r="I14" s="59">
        <f t="shared" si="9"/>
        <v>63550</v>
      </c>
    </row>
    <row r="15" spans="1:23" x14ac:dyDescent="0.45">
      <c r="A15" s="81" t="s">
        <v>40</v>
      </c>
      <c r="B15" s="27" t="s">
        <v>12</v>
      </c>
      <c r="C15" s="2">
        <f>C10*1.05</f>
        <v>77752.5</v>
      </c>
      <c r="D15" s="2">
        <f t="shared" ref="D15:G15" si="10">C15</f>
        <v>77752.5</v>
      </c>
      <c r="E15" s="2">
        <f t="shared" si="10"/>
        <v>77752.5</v>
      </c>
      <c r="F15" s="2">
        <f t="shared" si="10"/>
        <v>77752.5</v>
      </c>
      <c r="G15" s="2">
        <f t="shared" si="10"/>
        <v>77752.5</v>
      </c>
      <c r="H15" s="2">
        <f>H10*1.05</f>
        <v>77752.5</v>
      </c>
      <c r="I15" s="2">
        <f t="shared" ref="I15" si="11">H15</f>
        <v>77752.5</v>
      </c>
    </row>
    <row r="16" spans="1:23" x14ac:dyDescent="0.45">
      <c r="A16" s="82"/>
      <c r="B16" s="27" t="s">
        <v>11</v>
      </c>
      <c r="C16" s="2">
        <f t="shared" ref="C16:I16" si="12">C11</f>
        <v>13000</v>
      </c>
      <c r="D16" s="2">
        <f t="shared" si="12"/>
        <v>11000</v>
      </c>
      <c r="E16" s="2">
        <f t="shared" si="12"/>
        <v>9000</v>
      </c>
      <c r="F16" s="2">
        <f t="shared" si="12"/>
        <v>7000</v>
      </c>
      <c r="G16" s="2">
        <f t="shared" si="12"/>
        <v>5000</v>
      </c>
      <c r="H16" s="2">
        <f t="shared" si="12"/>
        <v>3000</v>
      </c>
      <c r="I16" s="2">
        <f t="shared" si="12"/>
        <v>0</v>
      </c>
    </row>
    <row r="17" spans="1:15" x14ac:dyDescent="0.45">
      <c r="A17" s="82"/>
      <c r="B17" s="60" t="s">
        <v>44</v>
      </c>
      <c r="C17" s="61">
        <f>C12</f>
        <v>10500</v>
      </c>
      <c r="D17" s="61">
        <f>C17</f>
        <v>10500</v>
      </c>
      <c r="E17" s="61">
        <f t="shared" ref="E17:I17" si="13">D17</f>
        <v>10500</v>
      </c>
      <c r="F17" s="61">
        <f t="shared" si="13"/>
        <v>10500</v>
      </c>
      <c r="G17" s="61">
        <f t="shared" si="13"/>
        <v>10500</v>
      </c>
      <c r="H17" s="61">
        <f t="shared" si="13"/>
        <v>10500</v>
      </c>
      <c r="I17" s="61">
        <f t="shared" si="13"/>
        <v>10500</v>
      </c>
    </row>
    <row r="18" spans="1:15" x14ac:dyDescent="0.45">
      <c r="A18" s="82"/>
      <c r="B18" s="60" t="s">
        <v>47</v>
      </c>
      <c r="C18" s="61">
        <f>(((C15-C16)*0.95)*2)-C17*2</f>
        <v>102029.75</v>
      </c>
      <c r="D18" s="61">
        <f t="shared" ref="D18:I18" si="14">(((D15-D16)*0.95)*2)-D17*2</f>
        <v>105829.75</v>
      </c>
      <c r="E18" s="61">
        <f t="shared" si="14"/>
        <v>109629.75</v>
      </c>
      <c r="F18" s="61">
        <f t="shared" si="14"/>
        <v>113429.75</v>
      </c>
      <c r="G18" s="61">
        <f t="shared" si="14"/>
        <v>117229.75</v>
      </c>
      <c r="H18" s="61">
        <f t="shared" si="14"/>
        <v>121029.75</v>
      </c>
      <c r="I18" s="61">
        <f t="shared" si="14"/>
        <v>126729.75</v>
      </c>
    </row>
    <row r="19" spans="1:15" x14ac:dyDescent="0.45">
      <c r="A19" s="82"/>
      <c r="B19" s="60" t="s">
        <v>48</v>
      </c>
      <c r="C19" s="61">
        <f>(C15-C16)-C17</f>
        <v>54252.5</v>
      </c>
      <c r="D19" s="61">
        <f t="shared" ref="D19:I19" si="15">(D15-D16)-D17</f>
        <v>56252.5</v>
      </c>
      <c r="E19" s="61">
        <f t="shared" si="15"/>
        <v>58252.5</v>
      </c>
      <c r="F19" s="61">
        <f t="shared" si="15"/>
        <v>60252.5</v>
      </c>
      <c r="G19" s="61">
        <f t="shared" si="15"/>
        <v>62252.5</v>
      </c>
      <c r="H19" s="61">
        <f t="shared" si="15"/>
        <v>64252.5</v>
      </c>
      <c r="I19" s="61">
        <f t="shared" si="15"/>
        <v>67252.5</v>
      </c>
    </row>
    <row r="20" spans="1:15" x14ac:dyDescent="0.45">
      <c r="A20" s="81" t="s">
        <v>41</v>
      </c>
      <c r="B20" s="27" t="s">
        <v>12</v>
      </c>
      <c r="C20" s="2">
        <f>C15*1.05</f>
        <v>81640.125</v>
      </c>
      <c r="D20" s="2">
        <f t="shared" ref="D20:G20" si="16">C20</f>
        <v>81640.125</v>
      </c>
      <c r="E20" s="2">
        <f t="shared" si="16"/>
        <v>81640.125</v>
      </c>
      <c r="F20" s="2">
        <f t="shared" si="16"/>
        <v>81640.125</v>
      </c>
      <c r="G20" s="2">
        <f t="shared" si="16"/>
        <v>81640.125</v>
      </c>
      <c r="H20" s="2">
        <f>H15*1.05</f>
        <v>81640.125</v>
      </c>
      <c r="I20" s="2">
        <f t="shared" ref="I20" si="17">H20</f>
        <v>81640.125</v>
      </c>
    </row>
    <row r="21" spans="1:15" x14ac:dyDescent="0.45">
      <c r="A21" s="82"/>
      <c r="B21" s="27" t="s">
        <v>11</v>
      </c>
      <c r="C21" s="2">
        <f t="shared" ref="C21:I21" si="18">C16</f>
        <v>13000</v>
      </c>
      <c r="D21" s="2">
        <f t="shared" si="18"/>
        <v>11000</v>
      </c>
      <c r="E21" s="2">
        <f t="shared" si="18"/>
        <v>9000</v>
      </c>
      <c r="F21" s="2">
        <f t="shared" si="18"/>
        <v>7000</v>
      </c>
      <c r="G21" s="2">
        <f t="shared" si="18"/>
        <v>5000</v>
      </c>
      <c r="H21" s="2">
        <f t="shared" si="18"/>
        <v>3000</v>
      </c>
      <c r="I21" s="2">
        <f t="shared" si="18"/>
        <v>0</v>
      </c>
    </row>
    <row r="22" spans="1:15" x14ac:dyDescent="0.45">
      <c r="A22" s="82"/>
      <c r="B22" s="62" t="s">
        <v>44</v>
      </c>
      <c r="C22" s="63">
        <f>C17</f>
        <v>10500</v>
      </c>
      <c r="D22" s="63">
        <f>C22</f>
        <v>10500</v>
      </c>
      <c r="E22" s="63">
        <f t="shared" ref="E22:I22" si="19">D22</f>
        <v>10500</v>
      </c>
      <c r="F22" s="63">
        <f t="shared" si="19"/>
        <v>10500</v>
      </c>
      <c r="G22" s="63">
        <f t="shared" si="19"/>
        <v>10500</v>
      </c>
      <c r="H22" s="63">
        <f t="shared" si="19"/>
        <v>10500</v>
      </c>
      <c r="I22" s="63">
        <f t="shared" si="19"/>
        <v>10500</v>
      </c>
    </row>
    <row r="23" spans="1:15" x14ac:dyDescent="0.45">
      <c r="A23" s="82"/>
      <c r="B23" s="62" t="s">
        <v>47</v>
      </c>
      <c r="C23" s="63">
        <f>(((C20-C21)*0.95)*2)-C22*2</f>
        <v>109416.23749999999</v>
      </c>
      <c r="D23" s="63">
        <f t="shared" ref="D23:I23" si="20">(((D20-D21)*0.95)*2)-D22*2</f>
        <v>113216.23749999999</v>
      </c>
      <c r="E23" s="63">
        <f t="shared" si="20"/>
        <v>117016.23749999999</v>
      </c>
      <c r="F23" s="63">
        <f t="shared" si="20"/>
        <v>120816.23749999999</v>
      </c>
      <c r="G23" s="63">
        <f t="shared" si="20"/>
        <v>124616.23749999999</v>
      </c>
      <c r="H23" s="63">
        <f t="shared" si="20"/>
        <v>128416.23749999999</v>
      </c>
      <c r="I23" s="63">
        <f t="shared" si="20"/>
        <v>134116.23749999999</v>
      </c>
    </row>
    <row r="24" spans="1:15" x14ac:dyDescent="0.45">
      <c r="A24" s="82"/>
      <c r="B24" s="62" t="s">
        <v>48</v>
      </c>
      <c r="C24" s="63">
        <f>(C20-C21)-C22</f>
        <v>58140.125</v>
      </c>
      <c r="D24" s="63">
        <f t="shared" ref="D24:I24" si="21">(D20-D21)-D22</f>
        <v>60140.125</v>
      </c>
      <c r="E24" s="63">
        <f t="shared" si="21"/>
        <v>62140.125</v>
      </c>
      <c r="F24" s="63">
        <f t="shared" si="21"/>
        <v>64140.125</v>
      </c>
      <c r="G24" s="63">
        <f t="shared" si="21"/>
        <v>66140.125</v>
      </c>
      <c r="H24" s="63">
        <f t="shared" si="21"/>
        <v>68140.125</v>
      </c>
      <c r="I24" s="63">
        <f t="shared" si="21"/>
        <v>71140.125</v>
      </c>
    </row>
    <row r="25" spans="1:15" x14ac:dyDescent="0.45">
      <c r="A25" s="83" t="s">
        <v>13</v>
      </c>
      <c r="B25" s="83"/>
      <c r="C25" s="63">
        <f t="shared" ref="C25:I25" si="22">SUM(C8,C13,C18,C23)</f>
        <v>397730.98749999999</v>
      </c>
      <c r="D25" s="63">
        <f t="shared" si="22"/>
        <v>412930.98749999999</v>
      </c>
      <c r="E25" s="63">
        <f t="shared" si="22"/>
        <v>428130.98749999999</v>
      </c>
      <c r="F25" s="63">
        <f t="shared" si="22"/>
        <v>443330.98749999999</v>
      </c>
      <c r="G25" s="63">
        <f t="shared" si="22"/>
        <v>458530.98749999999</v>
      </c>
      <c r="H25" s="63">
        <f t="shared" si="22"/>
        <v>473730.98749999999</v>
      </c>
      <c r="I25" s="63">
        <f t="shared" si="22"/>
        <v>496530.98749999999</v>
      </c>
    </row>
    <row r="26" spans="1:15" x14ac:dyDescent="0.45">
      <c r="A26" s="75" t="s">
        <v>14</v>
      </c>
      <c r="B26" s="76"/>
      <c r="C26" s="76"/>
      <c r="D26" s="76"/>
      <c r="E26" s="76"/>
      <c r="F26" s="76"/>
      <c r="G26" s="76"/>
      <c r="H26" s="76"/>
      <c r="I26" s="76"/>
      <c r="J26" s="19"/>
      <c r="K26" s="19"/>
      <c r="L26" s="19"/>
      <c r="M26" s="19"/>
      <c r="N26" s="19"/>
      <c r="O26" s="19"/>
    </row>
    <row r="27" spans="1:15" x14ac:dyDescent="0.45">
      <c r="A27" s="81" t="s">
        <v>38</v>
      </c>
      <c r="B27" s="15" t="s">
        <v>15</v>
      </c>
      <c r="C27" s="2">
        <f>C5*0.75</f>
        <v>54075</v>
      </c>
      <c r="D27" s="2">
        <f t="shared" ref="D27:G27" si="23">C27</f>
        <v>54075</v>
      </c>
      <c r="E27" s="2">
        <f t="shared" si="23"/>
        <v>54075</v>
      </c>
      <c r="F27" s="2">
        <f t="shared" si="23"/>
        <v>54075</v>
      </c>
      <c r="G27" s="2">
        <f t="shared" si="23"/>
        <v>54075</v>
      </c>
      <c r="H27" s="2">
        <f>H5*0.75</f>
        <v>54075</v>
      </c>
      <c r="I27" s="2">
        <f t="shared" ref="I27" si="24">H27</f>
        <v>54075</v>
      </c>
      <c r="J27" s="19"/>
      <c r="K27" s="19"/>
      <c r="L27" s="19"/>
      <c r="M27" s="19"/>
      <c r="N27" s="19"/>
      <c r="O27" s="19"/>
    </row>
    <row r="28" spans="1:15" x14ac:dyDescent="0.45">
      <c r="A28" s="82"/>
      <c r="B28" s="15" t="s">
        <v>11</v>
      </c>
      <c r="C28" s="2">
        <v>13000</v>
      </c>
      <c r="D28" s="2">
        <v>11000</v>
      </c>
      <c r="E28" s="2">
        <v>9000</v>
      </c>
      <c r="F28" s="2">
        <v>7000</v>
      </c>
      <c r="G28" s="2">
        <v>5000</v>
      </c>
      <c r="H28" s="2">
        <v>3000</v>
      </c>
      <c r="I28" s="2">
        <v>0</v>
      </c>
    </row>
    <row r="29" spans="1:15" x14ac:dyDescent="0.45">
      <c r="A29" s="82"/>
      <c r="B29" s="23" t="s">
        <v>47</v>
      </c>
      <c r="C29" s="55">
        <f>((C27-C28)*0.95)*2</f>
        <v>78042.5</v>
      </c>
      <c r="D29" s="55">
        <f t="shared" ref="D29:I29" si="25">((D27-D28)*0.95)*2</f>
        <v>81842.5</v>
      </c>
      <c r="E29" s="55">
        <f t="shared" si="25"/>
        <v>85642.5</v>
      </c>
      <c r="F29" s="55">
        <f t="shared" si="25"/>
        <v>89442.5</v>
      </c>
      <c r="G29" s="55">
        <f t="shared" si="25"/>
        <v>93242.5</v>
      </c>
      <c r="H29" s="55">
        <f t="shared" si="25"/>
        <v>97042.5</v>
      </c>
      <c r="I29" s="55">
        <f t="shared" si="25"/>
        <v>102742.5</v>
      </c>
      <c r="J29" s="19"/>
      <c r="K29" s="19"/>
      <c r="L29" s="19"/>
      <c r="M29" s="19"/>
      <c r="N29" s="19"/>
      <c r="O29" s="19"/>
    </row>
    <row r="30" spans="1:15" x14ac:dyDescent="0.45">
      <c r="A30" s="82"/>
      <c r="B30" s="23" t="s">
        <v>48</v>
      </c>
      <c r="C30" s="55">
        <f>(C27-C28)</f>
        <v>41075</v>
      </c>
      <c r="D30" s="55">
        <f t="shared" ref="D30:I30" si="26">(D27-D28)</f>
        <v>43075</v>
      </c>
      <c r="E30" s="55">
        <f t="shared" si="26"/>
        <v>45075</v>
      </c>
      <c r="F30" s="55">
        <f t="shared" si="26"/>
        <v>47075</v>
      </c>
      <c r="G30" s="55">
        <f t="shared" si="26"/>
        <v>49075</v>
      </c>
      <c r="H30" s="55">
        <f t="shared" si="26"/>
        <v>51075</v>
      </c>
      <c r="I30" s="55">
        <f t="shared" si="26"/>
        <v>54075</v>
      </c>
      <c r="J30" s="19"/>
      <c r="K30" s="19"/>
      <c r="L30" s="19"/>
      <c r="M30" s="19"/>
      <c r="N30" s="19"/>
      <c r="O30" s="19"/>
    </row>
    <row r="31" spans="1:15" x14ac:dyDescent="0.45">
      <c r="A31" s="81" t="s">
        <v>39</v>
      </c>
      <c r="B31" s="15" t="s">
        <v>15</v>
      </c>
      <c r="C31" s="2">
        <f>C10*0.75</f>
        <v>55537.5</v>
      </c>
      <c r="D31" s="2">
        <f t="shared" ref="D31:G31" si="27">C31</f>
        <v>55537.5</v>
      </c>
      <c r="E31" s="2">
        <f t="shared" si="27"/>
        <v>55537.5</v>
      </c>
      <c r="F31" s="2">
        <f t="shared" si="27"/>
        <v>55537.5</v>
      </c>
      <c r="G31" s="2">
        <f t="shared" si="27"/>
        <v>55537.5</v>
      </c>
      <c r="H31" s="2">
        <f t="shared" ref="H31" si="28">G31</f>
        <v>55537.5</v>
      </c>
      <c r="I31" s="2">
        <f t="shared" ref="I31" si="29">H31</f>
        <v>55537.5</v>
      </c>
    </row>
    <row r="32" spans="1:15" x14ac:dyDescent="0.45">
      <c r="A32" s="82"/>
      <c r="B32" s="15" t="s">
        <v>11</v>
      </c>
      <c r="C32" s="2">
        <f t="shared" ref="C32:I32" si="30">C28</f>
        <v>13000</v>
      </c>
      <c r="D32" s="2">
        <f t="shared" si="30"/>
        <v>11000</v>
      </c>
      <c r="E32" s="2">
        <f t="shared" si="30"/>
        <v>9000</v>
      </c>
      <c r="F32" s="2">
        <f t="shared" si="30"/>
        <v>7000</v>
      </c>
      <c r="G32" s="2">
        <f t="shared" si="30"/>
        <v>5000</v>
      </c>
      <c r="H32" s="2">
        <f t="shared" si="30"/>
        <v>3000</v>
      </c>
      <c r="I32" s="2">
        <f t="shared" si="30"/>
        <v>0</v>
      </c>
    </row>
    <row r="33" spans="1:9" x14ac:dyDescent="0.45">
      <c r="A33" s="82"/>
      <c r="B33" s="58" t="s">
        <v>47</v>
      </c>
      <c r="C33" s="59">
        <f>((C31-C32)*0.95)*2</f>
        <v>80821.25</v>
      </c>
      <c r="D33" s="59">
        <f t="shared" ref="D33:I33" si="31">((D31-D32)*0.95)*2</f>
        <v>84621.25</v>
      </c>
      <c r="E33" s="59">
        <f t="shared" si="31"/>
        <v>88421.25</v>
      </c>
      <c r="F33" s="59">
        <f t="shared" si="31"/>
        <v>92221.25</v>
      </c>
      <c r="G33" s="59">
        <f t="shared" si="31"/>
        <v>96021.25</v>
      </c>
      <c r="H33" s="59">
        <f t="shared" si="31"/>
        <v>99821.25</v>
      </c>
      <c r="I33" s="59">
        <f t="shared" si="31"/>
        <v>105521.25</v>
      </c>
    </row>
    <row r="34" spans="1:9" x14ac:dyDescent="0.45">
      <c r="A34" s="82"/>
      <c r="B34" s="33" t="s">
        <v>48</v>
      </c>
      <c r="C34" s="59">
        <f>(C31-C32)</f>
        <v>42537.5</v>
      </c>
      <c r="D34" s="59">
        <f t="shared" ref="D34:I34" si="32">(D31-D32)</f>
        <v>44537.5</v>
      </c>
      <c r="E34" s="59">
        <f t="shared" si="32"/>
        <v>46537.5</v>
      </c>
      <c r="F34" s="59">
        <f t="shared" si="32"/>
        <v>48537.5</v>
      </c>
      <c r="G34" s="59">
        <f t="shared" si="32"/>
        <v>50537.5</v>
      </c>
      <c r="H34" s="59">
        <f t="shared" si="32"/>
        <v>52537.5</v>
      </c>
      <c r="I34" s="59">
        <f t="shared" si="32"/>
        <v>55537.5</v>
      </c>
    </row>
    <row r="35" spans="1:9" x14ac:dyDescent="0.45">
      <c r="A35" s="81" t="s">
        <v>40</v>
      </c>
      <c r="B35" s="15" t="s">
        <v>15</v>
      </c>
      <c r="C35" s="2">
        <f>C31*1.05</f>
        <v>58314.375</v>
      </c>
      <c r="D35" s="2">
        <f t="shared" ref="D35:G35" si="33">C35</f>
        <v>58314.375</v>
      </c>
      <c r="E35" s="2">
        <f t="shared" si="33"/>
        <v>58314.375</v>
      </c>
      <c r="F35" s="2">
        <f t="shared" si="33"/>
        <v>58314.375</v>
      </c>
      <c r="G35" s="2">
        <f t="shared" si="33"/>
        <v>58314.375</v>
      </c>
      <c r="H35" s="2">
        <f>H31*1.05</f>
        <v>58314.375</v>
      </c>
      <c r="I35" s="2">
        <f t="shared" ref="I35" si="34">H35</f>
        <v>58314.375</v>
      </c>
    </row>
    <row r="36" spans="1:9" x14ac:dyDescent="0.45">
      <c r="A36" s="82"/>
      <c r="B36" s="15" t="s">
        <v>11</v>
      </c>
      <c r="C36" s="2">
        <f t="shared" ref="C36:I36" si="35">C32</f>
        <v>13000</v>
      </c>
      <c r="D36" s="2">
        <f t="shared" si="35"/>
        <v>11000</v>
      </c>
      <c r="E36" s="2">
        <f t="shared" si="35"/>
        <v>9000</v>
      </c>
      <c r="F36" s="2">
        <f t="shared" si="35"/>
        <v>7000</v>
      </c>
      <c r="G36" s="2">
        <f t="shared" si="35"/>
        <v>5000</v>
      </c>
      <c r="H36" s="2">
        <f t="shared" si="35"/>
        <v>3000</v>
      </c>
      <c r="I36" s="2">
        <f t="shared" si="35"/>
        <v>0</v>
      </c>
    </row>
    <row r="37" spans="1:9" x14ac:dyDescent="0.45">
      <c r="A37" s="82"/>
      <c r="B37" s="60" t="s">
        <v>47</v>
      </c>
      <c r="C37" s="61">
        <f>((C35-C36)*0.95)*2</f>
        <v>86097.3125</v>
      </c>
      <c r="D37" s="61">
        <f t="shared" ref="D37:I37" si="36">((D35-D36)*0.95)*2</f>
        <v>89897.3125</v>
      </c>
      <c r="E37" s="61">
        <f t="shared" si="36"/>
        <v>93697.3125</v>
      </c>
      <c r="F37" s="61">
        <f t="shared" si="36"/>
        <v>97497.3125</v>
      </c>
      <c r="G37" s="61">
        <f t="shared" si="36"/>
        <v>101297.3125</v>
      </c>
      <c r="H37" s="61">
        <f t="shared" si="36"/>
        <v>105097.3125</v>
      </c>
      <c r="I37" s="61">
        <f t="shared" si="36"/>
        <v>110797.3125</v>
      </c>
    </row>
    <row r="38" spans="1:9" x14ac:dyDescent="0.45">
      <c r="A38" s="82"/>
      <c r="B38" s="31" t="s">
        <v>48</v>
      </c>
      <c r="C38" s="61">
        <f>(C35-C36)</f>
        <v>45314.375</v>
      </c>
      <c r="D38" s="61">
        <f t="shared" ref="D38:I38" si="37">(D35-D36)</f>
        <v>47314.375</v>
      </c>
      <c r="E38" s="61">
        <f t="shared" si="37"/>
        <v>49314.375</v>
      </c>
      <c r="F38" s="61">
        <f t="shared" si="37"/>
        <v>51314.375</v>
      </c>
      <c r="G38" s="61">
        <f t="shared" si="37"/>
        <v>53314.375</v>
      </c>
      <c r="H38" s="61">
        <f t="shared" si="37"/>
        <v>55314.375</v>
      </c>
      <c r="I38" s="61">
        <f t="shared" si="37"/>
        <v>58314.375</v>
      </c>
    </row>
    <row r="39" spans="1:9" x14ac:dyDescent="0.45">
      <c r="A39" s="81" t="s">
        <v>41</v>
      </c>
      <c r="B39" s="15" t="s">
        <v>15</v>
      </c>
      <c r="C39" s="2">
        <f>C35*1.05</f>
        <v>61230.09375</v>
      </c>
      <c r="D39" s="2">
        <f t="shared" ref="D39:G39" si="38">C39</f>
        <v>61230.09375</v>
      </c>
      <c r="E39" s="2">
        <f t="shared" si="38"/>
        <v>61230.09375</v>
      </c>
      <c r="F39" s="2">
        <f t="shared" si="38"/>
        <v>61230.09375</v>
      </c>
      <c r="G39" s="2">
        <f t="shared" si="38"/>
        <v>61230.09375</v>
      </c>
      <c r="H39" s="2">
        <f>H35*1.05</f>
        <v>61230.09375</v>
      </c>
      <c r="I39" s="2">
        <f t="shared" ref="I39" si="39">H39</f>
        <v>61230.09375</v>
      </c>
    </row>
    <row r="40" spans="1:9" x14ac:dyDescent="0.45">
      <c r="A40" s="82"/>
      <c r="B40" s="15" t="s">
        <v>11</v>
      </c>
      <c r="C40" s="2">
        <f t="shared" ref="C40:I40" si="40">C36</f>
        <v>13000</v>
      </c>
      <c r="D40" s="2">
        <f t="shared" si="40"/>
        <v>11000</v>
      </c>
      <c r="E40" s="2">
        <f t="shared" si="40"/>
        <v>9000</v>
      </c>
      <c r="F40" s="2">
        <f t="shared" si="40"/>
        <v>7000</v>
      </c>
      <c r="G40" s="2">
        <f t="shared" si="40"/>
        <v>5000</v>
      </c>
      <c r="H40" s="2">
        <f t="shared" si="40"/>
        <v>3000</v>
      </c>
      <c r="I40" s="2">
        <f t="shared" si="40"/>
        <v>0</v>
      </c>
    </row>
    <row r="41" spans="1:9" x14ac:dyDescent="0.45">
      <c r="A41" s="82"/>
      <c r="B41" s="62" t="s">
        <v>47</v>
      </c>
      <c r="C41" s="63">
        <f>((C39-C40)*0.95)*2</f>
        <v>91637.178124999991</v>
      </c>
      <c r="D41" s="63">
        <f t="shared" ref="D41:I41" si="41">((D39-D40)*0.95)*2</f>
        <v>95437.178124999991</v>
      </c>
      <c r="E41" s="63">
        <f t="shared" si="41"/>
        <v>99237.178124999991</v>
      </c>
      <c r="F41" s="63">
        <f t="shared" si="41"/>
        <v>103037.17812499999</v>
      </c>
      <c r="G41" s="63">
        <f t="shared" si="41"/>
        <v>106837.17812499999</v>
      </c>
      <c r="H41" s="63">
        <f t="shared" si="41"/>
        <v>110637.17812499999</v>
      </c>
      <c r="I41" s="63">
        <f t="shared" si="41"/>
        <v>116337.17812499999</v>
      </c>
    </row>
    <row r="42" spans="1:9" x14ac:dyDescent="0.45">
      <c r="A42" s="82"/>
      <c r="B42" s="32" t="s">
        <v>48</v>
      </c>
      <c r="C42" s="63">
        <f>(C39-C40)</f>
        <v>48230.09375</v>
      </c>
      <c r="D42" s="63">
        <f t="shared" ref="D42:I42" si="42">(D39-D40)</f>
        <v>50230.09375</v>
      </c>
      <c r="E42" s="63">
        <f t="shared" si="42"/>
        <v>52230.09375</v>
      </c>
      <c r="F42" s="63">
        <f t="shared" si="42"/>
        <v>54230.09375</v>
      </c>
      <c r="G42" s="63">
        <f t="shared" si="42"/>
        <v>56230.09375</v>
      </c>
      <c r="H42" s="63">
        <f t="shared" si="42"/>
        <v>58230.09375</v>
      </c>
      <c r="I42" s="63">
        <f t="shared" si="42"/>
        <v>61230.09375</v>
      </c>
    </row>
    <row r="43" spans="1:9" x14ac:dyDescent="0.45">
      <c r="A43" s="83" t="s">
        <v>13</v>
      </c>
      <c r="B43" s="83"/>
      <c r="C43" s="63">
        <f t="shared" ref="C43:I43" si="43">SUM(C29,C33,C37,C41)</f>
        <v>336598.24062499998</v>
      </c>
      <c r="D43" s="63">
        <f t="shared" si="43"/>
        <v>351798.24062499998</v>
      </c>
      <c r="E43" s="63">
        <f t="shared" si="43"/>
        <v>366998.24062499998</v>
      </c>
      <c r="F43" s="63">
        <f t="shared" si="43"/>
        <v>382198.24062499998</v>
      </c>
      <c r="G43" s="63">
        <f t="shared" si="43"/>
        <v>397398.24062499998</v>
      </c>
      <c r="H43" s="63">
        <f t="shared" si="43"/>
        <v>412598.24062499998</v>
      </c>
      <c r="I43" s="63">
        <f t="shared" si="43"/>
        <v>435398.24062499998</v>
      </c>
    </row>
    <row r="44" spans="1:9" ht="16" customHeight="1" x14ac:dyDescent="0.45">
      <c r="A44" s="84" t="s">
        <v>16</v>
      </c>
      <c r="B44" s="84"/>
      <c r="C44" s="84"/>
      <c r="D44" s="84"/>
      <c r="E44" s="84"/>
      <c r="F44" s="84"/>
      <c r="G44" s="84"/>
      <c r="H44" s="84"/>
      <c r="I44" s="84"/>
    </row>
    <row r="45" spans="1:9" ht="16" customHeight="1" x14ac:dyDescent="0.45">
      <c r="A45" s="84"/>
      <c r="B45" s="84"/>
      <c r="C45" s="84"/>
      <c r="D45" s="84"/>
      <c r="E45" s="84"/>
      <c r="F45" s="84"/>
      <c r="G45" s="84"/>
      <c r="H45" s="84"/>
      <c r="I45" s="84"/>
    </row>
    <row r="46" spans="1:9" ht="17.149999999999999" customHeight="1" x14ac:dyDescent="0.45">
      <c r="A46" s="84"/>
      <c r="B46" s="84"/>
      <c r="C46" s="84"/>
      <c r="D46" s="84"/>
      <c r="E46" s="84"/>
      <c r="F46" s="84"/>
      <c r="G46" s="84"/>
      <c r="H46" s="84"/>
      <c r="I46" s="84"/>
    </row>
    <row r="47" spans="1:9" x14ac:dyDescent="0.45">
      <c r="A47" s="85" t="s">
        <v>17</v>
      </c>
      <c r="B47" s="85"/>
      <c r="C47" s="86" t="s">
        <v>18</v>
      </c>
      <c r="D47" s="86"/>
      <c r="E47" s="7">
        <v>5000</v>
      </c>
      <c r="F47" s="57"/>
      <c r="G47" s="65"/>
      <c r="H47" s="56"/>
      <c r="I47" s="56"/>
    </row>
    <row r="48" spans="1:9" ht="16" customHeight="1" x14ac:dyDescent="0.45">
      <c r="A48" s="85"/>
      <c r="B48" s="85"/>
      <c r="C48" s="86" t="s">
        <v>19</v>
      </c>
      <c r="D48" s="86"/>
      <c r="E48" s="7">
        <v>3000</v>
      </c>
      <c r="F48" s="57"/>
      <c r="G48" s="65"/>
      <c r="H48" s="56"/>
      <c r="I48" s="56"/>
    </row>
    <row r="49" spans="1:9" ht="16" customHeight="1" x14ac:dyDescent="0.45">
      <c r="A49" s="85"/>
      <c r="B49" s="85"/>
      <c r="C49" s="87" t="s">
        <v>20</v>
      </c>
      <c r="D49" s="87"/>
      <c r="E49" s="7">
        <v>3000</v>
      </c>
      <c r="F49" s="66"/>
      <c r="G49" s="67"/>
      <c r="H49" s="56"/>
      <c r="I49" s="56"/>
    </row>
    <row r="50" spans="1:9" ht="33" customHeight="1" x14ac:dyDescent="0.45">
      <c r="A50" s="20" t="s">
        <v>21</v>
      </c>
      <c r="B50" s="20" t="s">
        <v>22</v>
      </c>
      <c r="C50" s="21" t="s">
        <v>23</v>
      </c>
      <c r="D50" s="21" t="s">
        <v>24</v>
      </c>
      <c r="E50" s="21" t="s">
        <v>25</v>
      </c>
      <c r="F50" s="21" t="s">
        <v>26</v>
      </c>
      <c r="G50" s="20" t="s">
        <v>27</v>
      </c>
      <c r="H50" s="20" t="s">
        <v>28</v>
      </c>
      <c r="I50" s="20" t="s">
        <v>29</v>
      </c>
    </row>
    <row r="51" spans="1:9" ht="14.5" customHeight="1" x14ac:dyDescent="0.45">
      <c r="A51" s="16" t="s">
        <v>30</v>
      </c>
      <c r="B51" s="7">
        <f>B52*2</f>
        <v>7000</v>
      </c>
      <c r="C51" s="7">
        <f t="shared" ref="C51:H51" si="44">C52*2</f>
        <v>5000</v>
      </c>
      <c r="D51" s="7">
        <v>1000</v>
      </c>
      <c r="E51" s="7">
        <f t="shared" si="44"/>
        <v>1500</v>
      </c>
      <c r="F51" s="7">
        <f t="shared" si="44"/>
        <v>1000</v>
      </c>
      <c r="G51" s="7">
        <f t="shared" si="44"/>
        <v>1000</v>
      </c>
      <c r="H51" s="7">
        <f t="shared" si="44"/>
        <v>2000</v>
      </c>
      <c r="I51" s="7">
        <f>SUM(B51:H51)</f>
        <v>18500</v>
      </c>
    </row>
    <row r="52" spans="1:9" ht="14.5" customHeight="1" x14ac:dyDescent="0.45">
      <c r="A52" s="16" t="s">
        <v>31</v>
      </c>
      <c r="B52" s="7">
        <v>3500</v>
      </c>
      <c r="C52" s="7">
        <v>2500</v>
      </c>
      <c r="D52" s="22">
        <v>1000</v>
      </c>
      <c r="E52" s="22">
        <v>750</v>
      </c>
      <c r="F52" s="22">
        <v>500</v>
      </c>
      <c r="G52" s="7">
        <v>500</v>
      </c>
      <c r="H52" s="7">
        <v>1000</v>
      </c>
      <c r="I52" s="7">
        <f>SUM(B52:H52)</f>
        <v>9750</v>
      </c>
    </row>
    <row r="53" spans="1:9" ht="25" customHeight="1" x14ac:dyDescent="0.45">
      <c r="A53" s="91" t="s">
        <v>45</v>
      </c>
      <c r="B53" s="91"/>
      <c r="C53" s="91"/>
      <c r="D53" s="91"/>
      <c r="E53" s="91"/>
      <c r="F53" s="91"/>
      <c r="G53" s="91"/>
      <c r="H53" s="91"/>
      <c r="I53" s="91"/>
    </row>
    <row r="54" spans="1:9" ht="23.15" customHeight="1" x14ac:dyDescent="0.45">
      <c r="A54" s="91" t="s">
        <v>46</v>
      </c>
      <c r="B54" s="91"/>
      <c r="C54" s="91"/>
      <c r="D54" s="91"/>
      <c r="E54" s="91"/>
      <c r="F54" s="91"/>
      <c r="G54" s="91"/>
      <c r="H54" s="91"/>
      <c r="I54" s="91"/>
    </row>
    <row r="55" spans="1:9" ht="33" customHeight="1" x14ac:dyDescent="0.45">
      <c r="A55" s="92" t="s">
        <v>43</v>
      </c>
      <c r="B55" s="92"/>
      <c r="C55" s="92"/>
      <c r="D55" s="92"/>
      <c r="E55" s="92"/>
      <c r="F55" s="92"/>
      <c r="G55" s="92"/>
      <c r="H55" s="92"/>
      <c r="I55" s="92"/>
    </row>
    <row r="56" spans="1:9" x14ac:dyDescent="0.45">
      <c r="A56" s="91" t="s">
        <v>32</v>
      </c>
      <c r="B56" s="91"/>
      <c r="C56" s="91"/>
      <c r="D56" s="91"/>
      <c r="E56" s="91"/>
      <c r="F56" s="91"/>
      <c r="G56" s="91"/>
      <c r="H56" s="91"/>
      <c r="I56" s="91"/>
    </row>
    <row r="57" spans="1:9" ht="28" customHeight="1" x14ac:dyDescent="0.45">
      <c r="A57" s="96" t="s">
        <v>84</v>
      </c>
      <c r="B57" s="96"/>
      <c r="C57" s="96"/>
      <c r="D57" s="96"/>
      <c r="E57" s="96"/>
      <c r="F57" s="96"/>
      <c r="G57" s="96"/>
      <c r="H57" s="96"/>
      <c r="I57" s="96"/>
    </row>
    <row r="58" spans="1:9" ht="13.5" customHeight="1" x14ac:dyDescent="0.45">
      <c r="A58" s="73" t="s">
        <v>9</v>
      </c>
      <c r="B58" s="74"/>
      <c r="C58" s="74"/>
      <c r="D58" s="74"/>
      <c r="E58" s="74"/>
      <c r="F58" s="74"/>
      <c r="G58" s="74"/>
      <c r="H58" s="74"/>
      <c r="I58" s="74"/>
    </row>
    <row r="60" spans="1:9" ht="28.75" customHeight="1" x14ac:dyDescent="0.45"/>
    <row r="61" spans="1:9" ht="39" customHeight="1" x14ac:dyDescent="0.45"/>
  </sheetData>
  <mergeCells count="25">
    <mergeCell ref="A1:I1"/>
    <mergeCell ref="A2:I2"/>
    <mergeCell ref="A57:I57"/>
    <mergeCell ref="A44:I46"/>
    <mergeCell ref="A5:A9"/>
    <mergeCell ref="A10:A14"/>
    <mergeCell ref="A15:A19"/>
    <mergeCell ref="A20:A24"/>
    <mergeCell ref="A25:B25"/>
    <mergeCell ref="A27:A30"/>
    <mergeCell ref="A31:A34"/>
    <mergeCell ref="A35:A38"/>
    <mergeCell ref="A39:A42"/>
    <mergeCell ref="A43:B43"/>
    <mergeCell ref="A58:I58"/>
    <mergeCell ref="A4:I4"/>
    <mergeCell ref="A26:I26"/>
    <mergeCell ref="A53:I53"/>
    <mergeCell ref="A54:I54"/>
    <mergeCell ref="A55:I55"/>
    <mergeCell ref="A56:I56"/>
    <mergeCell ref="A47:B49"/>
    <mergeCell ref="C47:D47"/>
    <mergeCell ref="C48:D48"/>
    <mergeCell ref="C49:D49"/>
  </mergeCells>
  <pageMargins left="0.7" right="0.7" top="0.75" bottom="0.75" header="0.3" footer="0.3"/>
  <pageSetup paperSize="9" scale="3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O51"/>
  <sheetViews>
    <sheetView zoomScale="88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 x14ac:dyDescent="0.45">
      <c r="A1" s="71" t="s">
        <v>121</v>
      </c>
      <c r="B1" s="71"/>
      <c r="C1" s="71"/>
      <c r="D1" s="71"/>
      <c r="E1" s="71"/>
      <c r="F1" s="71"/>
      <c r="G1" s="71"/>
      <c r="H1" s="71"/>
      <c r="I1" s="71"/>
    </row>
    <row r="2" spans="1:15" ht="63.75" customHeight="1" x14ac:dyDescent="0.45">
      <c r="A2" s="72" t="s">
        <v>122</v>
      </c>
      <c r="B2" s="71"/>
      <c r="C2" s="71"/>
      <c r="D2" s="71"/>
      <c r="E2" s="71"/>
      <c r="F2" s="71"/>
      <c r="G2" s="71"/>
      <c r="H2" s="71"/>
      <c r="I2" s="71"/>
    </row>
    <row r="3" spans="1:15" ht="62.15" customHeight="1" x14ac:dyDescent="0.45">
      <c r="A3" s="43" t="s">
        <v>1</v>
      </c>
      <c r="B3" s="44" t="s">
        <v>2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15" x14ac:dyDescent="0.45">
      <c r="A4" s="78" t="s">
        <v>0</v>
      </c>
      <c r="B4" s="79"/>
      <c r="C4" s="79"/>
      <c r="D4" s="79"/>
      <c r="E4" s="79"/>
      <c r="F4" s="79"/>
      <c r="G4" s="79"/>
      <c r="H4" s="79"/>
      <c r="I4" s="79"/>
    </row>
    <row r="5" spans="1:15" x14ac:dyDescent="0.45">
      <c r="A5" s="81" t="s">
        <v>38</v>
      </c>
      <c r="B5" s="27" t="s">
        <v>10</v>
      </c>
      <c r="C5" s="2">
        <v>67100</v>
      </c>
      <c r="D5" s="2">
        <f>C5</f>
        <v>67100</v>
      </c>
      <c r="E5" s="2">
        <f t="shared" ref="E5:I5" si="0">D5</f>
        <v>67100</v>
      </c>
      <c r="F5" s="2">
        <f t="shared" si="0"/>
        <v>67100</v>
      </c>
      <c r="G5" s="2">
        <f t="shared" si="0"/>
        <v>67100</v>
      </c>
      <c r="H5" s="2">
        <f t="shared" si="0"/>
        <v>67100</v>
      </c>
      <c r="I5" s="2">
        <f t="shared" si="0"/>
        <v>67100</v>
      </c>
    </row>
    <row r="6" spans="1:15" x14ac:dyDescent="0.45">
      <c r="A6" s="82"/>
      <c r="B6" s="27" t="s">
        <v>11</v>
      </c>
      <c r="C6" s="49">
        <v>17500</v>
      </c>
      <c r="D6" s="49">
        <v>15500</v>
      </c>
      <c r="E6" s="49">
        <v>13500</v>
      </c>
      <c r="F6" s="49">
        <v>11500</v>
      </c>
      <c r="G6" s="49">
        <v>9500</v>
      </c>
      <c r="H6" s="49">
        <v>8500</v>
      </c>
      <c r="I6" s="49">
        <v>7500</v>
      </c>
    </row>
    <row r="7" spans="1:15" x14ac:dyDescent="0.45">
      <c r="A7" s="82"/>
      <c r="B7" s="58" t="s">
        <v>44</v>
      </c>
      <c r="C7" s="59">
        <v>7500</v>
      </c>
      <c r="D7" s="59">
        <f>C7</f>
        <v>7500</v>
      </c>
      <c r="E7" s="59">
        <f t="shared" ref="E7:I7" si="1">D7</f>
        <v>7500</v>
      </c>
      <c r="F7" s="59">
        <f t="shared" si="1"/>
        <v>7500</v>
      </c>
      <c r="G7" s="59">
        <f t="shared" si="1"/>
        <v>7500</v>
      </c>
      <c r="H7" s="59">
        <f t="shared" si="1"/>
        <v>7500</v>
      </c>
      <c r="I7" s="59">
        <f t="shared" si="1"/>
        <v>7500</v>
      </c>
    </row>
    <row r="8" spans="1:15" x14ac:dyDescent="0.45">
      <c r="A8" s="82"/>
      <c r="B8" s="58" t="s">
        <v>47</v>
      </c>
      <c r="C8" s="59">
        <f>(((C5-C6)*0.95)*2)-C7*2</f>
        <v>79240</v>
      </c>
      <c r="D8" s="59">
        <f t="shared" ref="D8:I8" si="2">(((D5-D6)*0.95)*2)-D7*2</f>
        <v>83040</v>
      </c>
      <c r="E8" s="59">
        <f t="shared" si="2"/>
        <v>86840</v>
      </c>
      <c r="F8" s="59">
        <f t="shared" si="2"/>
        <v>90640</v>
      </c>
      <c r="G8" s="59">
        <f t="shared" si="2"/>
        <v>94440</v>
      </c>
      <c r="H8" s="59">
        <f t="shared" si="2"/>
        <v>96340</v>
      </c>
      <c r="I8" s="59">
        <f t="shared" si="2"/>
        <v>98240</v>
      </c>
      <c r="J8" s="19"/>
      <c r="K8" s="19"/>
      <c r="L8" s="19"/>
      <c r="M8" s="19"/>
      <c r="N8" s="19"/>
      <c r="O8" s="19"/>
    </row>
    <row r="9" spans="1:15" x14ac:dyDescent="0.45">
      <c r="A9" s="82"/>
      <c r="B9" s="58" t="s">
        <v>48</v>
      </c>
      <c r="C9" s="59">
        <f>(C5-C6)-C7</f>
        <v>42100</v>
      </c>
      <c r="D9" s="59">
        <f t="shared" ref="D9:I9" si="3">(D5-D6)-D7</f>
        <v>44100</v>
      </c>
      <c r="E9" s="59">
        <f t="shared" si="3"/>
        <v>46100</v>
      </c>
      <c r="F9" s="59">
        <f t="shared" si="3"/>
        <v>48100</v>
      </c>
      <c r="G9" s="59">
        <f t="shared" si="3"/>
        <v>50100</v>
      </c>
      <c r="H9" s="59">
        <f t="shared" si="3"/>
        <v>51100</v>
      </c>
      <c r="I9" s="59">
        <f t="shared" si="3"/>
        <v>52100</v>
      </c>
    </row>
    <row r="10" spans="1:15" ht="16" customHeight="1" x14ac:dyDescent="0.45">
      <c r="A10" s="81" t="s">
        <v>39</v>
      </c>
      <c r="B10" s="27" t="s">
        <v>12</v>
      </c>
      <c r="C10" s="2">
        <v>68800</v>
      </c>
      <c r="D10" s="2">
        <f t="shared" ref="D10:I10" si="4">C10</f>
        <v>68800</v>
      </c>
      <c r="E10" s="2">
        <f t="shared" si="4"/>
        <v>68800</v>
      </c>
      <c r="F10" s="2">
        <f t="shared" si="4"/>
        <v>68800</v>
      </c>
      <c r="G10" s="2">
        <f t="shared" si="4"/>
        <v>68800</v>
      </c>
      <c r="H10" s="2">
        <f t="shared" si="4"/>
        <v>68800</v>
      </c>
      <c r="I10" s="2">
        <f t="shared" si="4"/>
        <v>68800</v>
      </c>
    </row>
    <row r="11" spans="1:15" x14ac:dyDescent="0.45">
      <c r="A11" s="82"/>
      <c r="B11" s="27" t="s">
        <v>11</v>
      </c>
      <c r="C11" s="2">
        <f t="shared" ref="C11:I11" si="5">C6</f>
        <v>17500</v>
      </c>
      <c r="D11" s="2">
        <f t="shared" si="5"/>
        <v>15500</v>
      </c>
      <c r="E11" s="2">
        <f t="shared" si="5"/>
        <v>13500</v>
      </c>
      <c r="F11" s="2">
        <f t="shared" si="5"/>
        <v>11500</v>
      </c>
      <c r="G11" s="2">
        <f t="shared" si="5"/>
        <v>9500</v>
      </c>
      <c r="H11" s="2">
        <f t="shared" si="5"/>
        <v>8500</v>
      </c>
      <c r="I11" s="2">
        <f t="shared" si="5"/>
        <v>7500</v>
      </c>
    </row>
    <row r="12" spans="1:15" x14ac:dyDescent="0.45">
      <c r="A12" s="82"/>
      <c r="B12" s="60" t="s">
        <v>44</v>
      </c>
      <c r="C12" s="61">
        <f>C7</f>
        <v>7500</v>
      </c>
      <c r="D12" s="61">
        <f>C12</f>
        <v>7500</v>
      </c>
      <c r="E12" s="61">
        <f t="shared" ref="E12:I12" si="6">D12</f>
        <v>7500</v>
      </c>
      <c r="F12" s="61">
        <f t="shared" si="6"/>
        <v>7500</v>
      </c>
      <c r="G12" s="61">
        <f t="shared" si="6"/>
        <v>7500</v>
      </c>
      <c r="H12" s="61">
        <f t="shared" si="6"/>
        <v>7500</v>
      </c>
      <c r="I12" s="61">
        <f t="shared" si="6"/>
        <v>7500</v>
      </c>
    </row>
    <row r="13" spans="1:15" x14ac:dyDescent="0.45">
      <c r="A13" s="82"/>
      <c r="B13" s="60" t="s">
        <v>47</v>
      </c>
      <c r="C13" s="61">
        <f>(((C10-C11)*0.95)*2)-C12*2</f>
        <v>82470</v>
      </c>
      <c r="D13" s="61">
        <f t="shared" ref="D13:I13" si="7">(((D10-D11)*0.95)*2)-D12*2</f>
        <v>86270</v>
      </c>
      <c r="E13" s="61">
        <f t="shared" si="7"/>
        <v>90070</v>
      </c>
      <c r="F13" s="61">
        <f t="shared" si="7"/>
        <v>93870</v>
      </c>
      <c r="G13" s="61">
        <f t="shared" si="7"/>
        <v>97670</v>
      </c>
      <c r="H13" s="61">
        <f t="shared" si="7"/>
        <v>99570</v>
      </c>
      <c r="I13" s="61">
        <f t="shared" si="7"/>
        <v>101470</v>
      </c>
    </row>
    <row r="14" spans="1:15" x14ac:dyDescent="0.45">
      <c r="A14" s="82"/>
      <c r="B14" s="60" t="s">
        <v>48</v>
      </c>
      <c r="C14" s="61">
        <f>(C10-C11)-C12</f>
        <v>43800</v>
      </c>
      <c r="D14" s="61">
        <f t="shared" ref="D14:I14" si="8">(D10-D11)-D12</f>
        <v>45800</v>
      </c>
      <c r="E14" s="61">
        <f t="shared" si="8"/>
        <v>47800</v>
      </c>
      <c r="F14" s="61">
        <f t="shared" si="8"/>
        <v>49800</v>
      </c>
      <c r="G14" s="61">
        <f t="shared" si="8"/>
        <v>51800</v>
      </c>
      <c r="H14" s="61">
        <f t="shared" si="8"/>
        <v>52800</v>
      </c>
      <c r="I14" s="61">
        <f t="shared" si="8"/>
        <v>53800</v>
      </c>
    </row>
    <row r="15" spans="1:15" x14ac:dyDescent="0.45">
      <c r="A15" s="81" t="s">
        <v>40</v>
      </c>
      <c r="B15" s="27" t="s">
        <v>12</v>
      </c>
      <c r="C15" s="2">
        <f>C10*1.05</f>
        <v>72240</v>
      </c>
      <c r="D15" s="2">
        <f t="shared" ref="D15:I15" si="9">C15</f>
        <v>72240</v>
      </c>
      <c r="E15" s="2">
        <f t="shared" si="9"/>
        <v>72240</v>
      </c>
      <c r="F15" s="2">
        <f t="shared" si="9"/>
        <v>72240</v>
      </c>
      <c r="G15" s="2">
        <f t="shared" si="9"/>
        <v>72240</v>
      </c>
      <c r="H15" s="2">
        <f t="shared" si="9"/>
        <v>72240</v>
      </c>
      <c r="I15" s="2">
        <f t="shared" si="9"/>
        <v>72240</v>
      </c>
    </row>
    <row r="16" spans="1:15" x14ac:dyDescent="0.45">
      <c r="A16" s="82"/>
      <c r="B16" s="27" t="s">
        <v>11</v>
      </c>
      <c r="C16" s="2">
        <f t="shared" ref="C16:I16" si="10">C11</f>
        <v>17500</v>
      </c>
      <c r="D16" s="2">
        <f t="shared" si="10"/>
        <v>15500</v>
      </c>
      <c r="E16" s="2">
        <f t="shared" si="10"/>
        <v>13500</v>
      </c>
      <c r="F16" s="2">
        <f t="shared" si="10"/>
        <v>11500</v>
      </c>
      <c r="G16" s="2">
        <f t="shared" si="10"/>
        <v>9500</v>
      </c>
      <c r="H16" s="2">
        <f t="shared" si="10"/>
        <v>8500</v>
      </c>
      <c r="I16" s="2">
        <f t="shared" si="10"/>
        <v>7500</v>
      </c>
    </row>
    <row r="17" spans="1:9" x14ac:dyDescent="0.45">
      <c r="A17" s="82"/>
      <c r="B17" s="62" t="s">
        <v>44</v>
      </c>
      <c r="C17" s="63">
        <f>C12</f>
        <v>7500</v>
      </c>
      <c r="D17" s="63">
        <f>C17</f>
        <v>7500</v>
      </c>
      <c r="E17" s="63">
        <f t="shared" ref="E17:I17" si="11">D17</f>
        <v>7500</v>
      </c>
      <c r="F17" s="63">
        <f t="shared" si="11"/>
        <v>7500</v>
      </c>
      <c r="G17" s="63">
        <f t="shared" si="11"/>
        <v>7500</v>
      </c>
      <c r="H17" s="63">
        <f t="shared" si="11"/>
        <v>7500</v>
      </c>
      <c r="I17" s="63">
        <f t="shared" si="11"/>
        <v>7500</v>
      </c>
    </row>
    <row r="18" spans="1:9" x14ac:dyDescent="0.45">
      <c r="A18" s="82"/>
      <c r="B18" s="62" t="s">
        <v>47</v>
      </c>
      <c r="C18" s="63">
        <f>(((C15-C16)*0.95)*2)-C17*2</f>
        <v>89006</v>
      </c>
      <c r="D18" s="63">
        <f t="shared" ref="D18:I18" si="12">(((D15-D16)*0.95)*2)-D17*2</f>
        <v>92806</v>
      </c>
      <c r="E18" s="63">
        <f t="shared" si="12"/>
        <v>96606</v>
      </c>
      <c r="F18" s="63">
        <f t="shared" si="12"/>
        <v>100406</v>
      </c>
      <c r="G18" s="63">
        <f t="shared" si="12"/>
        <v>104206</v>
      </c>
      <c r="H18" s="63">
        <f t="shared" si="12"/>
        <v>106106</v>
      </c>
      <c r="I18" s="63">
        <f t="shared" si="12"/>
        <v>108006</v>
      </c>
    </row>
    <row r="19" spans="1:9" x14ac:dyDescent="0.45">
      <c r="A19" s="82"/>
      <c r="B19" s="62" t="s">
        <v>48</v>
      </c>
      <c r="C19" s="63">
        <f>(C15-C16)-C17</f>
        <v>47240</v>
      </c>
      <c r="D19" s="63">
        <f t="shared" ref="D19:I19" si="13">(D15-D16)-D17</f>
        <v>49240</v>
      </c>
      <c r="E19" s="63">
        <f t="shared" si="13"/>
        <v>51240</v>
      </c>
      <c r="F19" s="63">
        <f t="shared" si="13"/>
        <v>53240</v>
      </c>
      <c r="G19" s="63">
        <f t="shared" si="13"/>
        <v>55240</v>
      </c>
      <c r="H19" s="63">
        <f t="shared" si="13"/>
        <v>56240</v>
      </c>
      <c r="I19" s="63">
        <f t="shared" si="13"/>
        <v>57240</v>
      </c>
    </row>
    <row r="20" spans="1:9" x14ac:dyDescent="0.45">
      <c r="A20" s="83" t="s">
        <v>13</v>
      </c>
      <c r="B20" s="83"/>
      <c r="C20" s="63">
        <f t="shared" ref="C20:I20" si="14">SUM(C8,C13,C18)</f>
        <v>250716</v>
      </c>
      <c r="D20" s="63">
        <f t="shared" si="14"/>
        <v>262116</v>
      </c>
      <c r="E20" s="63">
        <f t="shared" si="14"/>
        <v>273516</v>
      </c>
      <c r="F20" s="63">
        <f t="shared" si="14"/>
        <v>284916</v>
      </c>
      <c r="G20" s="63">
        <f t="shared" si="14"/>
        <v>296316</v>
      </c>
      <c r="H20" s="63">
        <f t="shared" si="14"/>
        <v>302016</v>
      </c>
      <c r="I20" s="63">
        <f t="shared" si="14"/>
        <v>307716</v>
      </c>
    </row>
    <row r="21" spans="1:9" x14ac:dyDescent="0.45">
      <c r="A21" s="71" t="s">
        <v>14</v>
      </c>
      <c r="B21" s="71"/>
      <c r="C21" s="71"/>
      <c r="D21" s="71"/>
      <c r="E21" s="71"/>
      <c r="F21" s="71"/>
      <c r="G21" s="71"/>
      <c r="H21" s="71"/>
      <c r="I21" s="71"/>
    </row>
    <row r="22" spans="1:9" ht="28" customHeight="1" x14ac:dyDescent="0.45">
      <c r="A22" s="81" t="s">
        <v>38</v>
      </c>
      <c r="B22" s="15" t="s">
        <v>15</v>
      </c>
      <c r="C22" s="2">
        <f>C5*0.75</f>
        <v>50325</v>
      </c>
      <c r="D22" s="2">
        <f t="shared" ref="D22:I22" si="15">C22</f>
        <v>50325</v>
      </c>
      <c r="E22" s="2">
        <f t="shared" si="15"/>
        <v>50325</v>
      </c>
      <c r="F22" s="2">
        <f t="shared" si="15"/>
        <v>50325</v>
      </c>
      <c r="G22" s="2">
        <f t="shared" si="15"/>
        <v>50325</v>
      </c>
      <c r="H22" s="2">
        <f t="shared" si="15"/>
        <v>50325</v>
      </c>
      <c r="I22" s="2">
        <f t="shared" si="15"/>
        <v>50325</v>
      </c>
    </row>
    <row r="23" spans="1:9" x14ac:dyDescent="0.45">
      <c r="A23" s="82"/>
      <c r="B23" s="15" t="s">
        <v>11</v>
      </c>
      <c r="C23" s="49">
        <v>17500</v>
      </c>
      <c r="D23" s="49">
        <v>15500</v>
      </c>
      <c r="E23" s="49">
        <v>13500</v>
      </c>
      <c r="F23" s="49">
        <v>11500</v>
      </c>
      <c r="G23" s="49">
        <v>9500</v>
      </c>
      <c r="H23" s="49">
        <v>8500</v>
      </c>
      <c r="I23" s="49">
        <v>7500</v>
      </c>
    </row>
    <row r="24" spans="1:9" x14ac:dyDescent="0.45">
      <c r="A24" s="82"/>
      <c r="B24" s="58" t="s">
        <v>47</v>
      </c>
      <c r="C24" s="59">
        <f>((C22-C23)*0.95)*2</f>
        <v>62367.5</v>
      </c>
      <c r="D24" s="59">
        <f t="shared" ref="D24:I24" si="16">((D22-D23)*0.95)*2</f>
        <v>66167.5</v>
      </c>
      <c r="E24" s="59">
        <f t="shared" si="16"/>
        <v>69967.5</v>
      </c>
      <c r="F24" s="59">
        <f t="shared" si="16"/>
        <v>73767.5</v>
      </c>
      <c r="G24" s="59">
        <f t="shared" si="16"/>
        <v>77567.5</v>
      </c>
      <c r="H24" s="59">
        <f t="shared" si="16"/>
        <v>79467.5</v>
      </c>
      <c r="I24" s="59">
        <f t="shared" si="16"/>
        <v>81367.5</v>
      </c>
    </row>
    <row r="25" spans="1:9" x14ac:dyDescent="0.45">
      <c r="A25" s="82"/>
      <c r="B25" s="33" t="s">
        <v>48</v>
      </c>
      <c r="C25" s="59">
        <f>(C22-C23)</f>
        <v>32825</v>
      </c>
      <c r="D25" s="59">
        <f t="shared" ref="D25:I25" si="17">(D22-D23)</f>
        <v>34825</v>
      </c>
      <c r="E25" s="59">
        <f t="shared" si="17"/>
        <v>36825</v>
      </c>
      <c r="F25" s="59">
        <f t="shared" si="17"/>
        <v>38825</v>
      </c>
      <c r="G25" s="59">
        <f t="shared" si="17"/>
        <v>40825</v>
      </c>
      <c r="H25" s="59">
        <f t="shared" si="17"/>
        <v>41825</v>
      </c>
      <c r="I25" s="59">
        <f t="shared" si="17"/>
        <v>42825</v>
      </c>
    </row>
    <row r="26" spans="1:9" ht="24" customHeight="1" x14ac:dyDescent="0.45">
      <c r="A26" s="81" t="s">
        <v>39</v>
      </c>
      <c r="B26" s="15" t="s">
        <v>15</v>
      </c>
      <c r="C26" s="2">
        <f>C10*0.75</f>
        <v>51600</v>
      </c>
      <c r="D26" s="2">
        <f t="shared" ref="D26:I26" si="18">C26</f>
        <v>51600</v>
      </c>
      <c r="E26" s="2">
        <f t="shared" si="18"/>
        <v>51600</v>
      </c>
      <c r="F26" s="2">
        <f t="shared" si="18"/>
        <v>51600</v>
      </c>
      <c r="G26" s="2">
        <f t="shared" si="18"/>
        <v>51600</v>
      </c>
      <c r="H26" s="2">
        <f t="shared" si="18"/>
        <v>51600</v>
      </c>
      <c r="I26" s="2">
        <f t="shared" si="18"/>
        <v>51600</v>
      </c>
    </row>
    <row r="27" spans="1:9" x14ac:dyDescent="0.45">
      <c r="A27" s="82"/>
      <c r="B27" s="15" t="s">
        <v>11</v>
      </c>
      <c r="C27" s="2">
        <f t="shared" ref="C27:I27" si="19">C23</f>
        <v>17500</v>
      </c>
      <c r="D27" s="2">
        <f t="shared" si="19"/>
        <v>15500</v>
      </c>
      <c r="E27" s="2">
        <f t="shared" si="19"/>
        <v>13500</v>
      </c>
      <c r="F27" s="2">
        <f t="shared" si="19"/>
        <v>11500</v>
      </c>
      <c r="G27" s="2">
        <f t="shared" si="19"/>
        <v>9500</v>
      </c>
      <c r="H27" s="2">
        <f t="shared" si="19"/>
        <v>8500</v>
      </c>
      <c r="I27" s="2">
        <f t="shared" si="19"/>
        <v>7500</v>
      </c>
    </row>
    <row r="28" spans="1:9" x14ac:dyDescent="0.45">
      <c r="A28" s="82"/>
      <c r="B28" s="60" t="s">
        <v>47</v>
      </c>
      <c r="C28" s="61">
        <f>((C26-C27)*0.95)*2</f>
        <v>64790</v>
      </c>
      <c r="D28" s="61">
        <f t="shared" ref="D28:I28" si="20">((D26-D27)*0.95)*2</f>
        <v>68590</v>
      </c>
      <c r="E28" s="61">
        <f t="shared" si="20"/>
        <v>72390</v>
      </c>
      <c r="F28" s="61">
        <f t="shared" si="20"/>
        <v>76190</v>
      </c>
      <c r="G28" s="61">
        <f t="shared" si="20"/>
        <v>79990</v>
      </c>
      <c r="H28" s="61">
        <f t="shared" si="20"/>
        <v>81890</v>
      </c>
      <c r="I28" s="61">
        <f t="shared" si="20"/>
        <v>83790</v>
      </c>
    </row>
    <row r="29" spans="1:9" x14ac:dyDescent="0.45">
      <c r="A29" s="82"/>
      <c r="B29" s="31" t="s">
        <v>48</v>
      </c>
      <c r="C29" s="61">
        <f>(C26-C27)</f>
        <v>34100</v>
      </c>
      <c r="D29" s="61">
        <f t="shared" ref="D29:I29" si="21">(D26-D27)</f>
        <v>36100</v>
      </c>
      <c r="E29" s="61">
        <f t="shared" si="21"/>
        <v>38100</v>
      </c>
      <c r="F29" s="61">
        <f t="shared" si="21"/>
        <v>40100</v>
      </c>
      <c r="G29" s="61">
        <f t="shared" si="21"/>
        <v>42100</v>
      </c>
      <c r="H29" s="61">
        <f t="shared" si="21"/>
        <v>43100</v>
      </c>
      <c r="I29" s="61">
        <f t="shared" si="21"/>
        <v>44100</v>
      </c>
    </row>
    <row r="30" spans="1:9" x14ac:dyDescent="0.45">
      <c r="A30" s="81" t="s">
        <v>40</v>
      </c>
      <c r="B30" s="15" t="s">
        <v>15</v>
      </c>
      <c r="C30" s="2">
        <f>C26*1.05</f>
        <v>54180</v>
      </c>
      <c r="D30" s="2">
        <f t="shared" ref="D30:I30" si="22">C30</f>
        <v>54180</v>
      </c>
      <c r="E30" s="2">
        <f t="shared" si="22"/>
        <v>54180</v>
      </c>
      <c r="F30" s="2">
        <f t="shared" si="22"/>
        <v>54180</v>
      </c>
      <c r="G30" s="2">
        <f t="shared" si="22"/>
        <v>54180</v>
      </c>
      <c r="H30" s="2">
        <f t="shared" si="22"/>
        <v>54180</v>
      </c>
      <c r="I30" s="2">
        <f t="shared" si="22"/>
        <v>54180</v>
      </c>
    </row>
    <row r="31" spans="1:9" x14ac:dyDescent="0.45">
      <c r="A31" s="82"/>
      <c r="B31" s="15" t="s">
        <v>11</v>
      </c>
      <c r="C31" s="2">
        <f t="shared" ref="C31:I31" si="23">C27</f>
        <v>17500</v>
      </c>
      <c r="D31" s="2">
        <f t="shared" si="23"/>
        <v>15500</v>
      </c>
      <c r="E31" s="2">
        <f t="shared" si="23"/>
        <v>13500</v>
      </c>
      <c r="F31" s="2">
        <f t="shared" si="23"/>
        <v>11500</v>
      </c>
      <c r="G31" s="2">
        <f t="shared" si="23"/>
        <v>9500</v>
      </c>
      <c r="H31" s="2">
        <f t="shared" si="23"/>
        <v>8500</v>
      </c>
      <c r="I31" s="2">
        <f t="shared" si="23"/>
        <v>7500</v>
      </c>
    </row>
    <row r="32" spans="1:9" x14ac:dyDescent="0.45">
      <c r="A32" s="82"/>
      <c r="B32" s="62" t="s">
        <v>47</v>
      </c>
      <c r="C32" s="63">
        <f>((C30-C31)*0.95)*2</f>
        <v>69692</v>
      </c>
      <c r="D32" s="63">
        <f t="shared" ref="D32:I32" si="24">((D30-D31)*0.95)*2</f>
        <v>73492</v>
      </c>
      <c r="E32" s="63">
        <f t="shared" si="24"/>
        <v>77292</v>
      </c>
      <c r="F32" s="63">
        <f t="shared" si="24"/>
        <v>81092</v>
      </c>
      <c r="G32" s="63">
        <f t="shared" si="24"/>
        <v>84892</v>
      </c>
      <c r="H32" s="63">
        <f t="shared" si="24"/>
        <v>86792</v>
      </c>
      <c r="I32" s="63">
        <f t="shared" si="24"/>
        <v>88692</v>
      </c>
    </row>
    <row r="33" spans="1:9" x14ac:dyDescent="0.45">
      <c r="A33" s="82"/>
      <c r="B33" s="32" t="s">
        <v>48</v>
      </c>
      <c r="C33" s="63">
        <f>(C30-C31)</f>
        <v>36680</v>
      </c>
      <c r="D33" s="63">
        <f t="shared" ref="D33:I33" si="25">(D30-D31)</f>
        <v>38680</v>
      </c>
      <c r="E33" s="63">
        <f t="shared" si="25"/>
        <v>40680</v>
      </c>
      <c r="F33" s="63">
        <f t="shared" si="25"/>
        <v>42680</v>
      </c>
      <c r="G33" s="63">
        <f t="shared" si="25"/>
        <v>44680</v>
      </c>
      <c r="H33" s="63">
        <f t="shared" si="25"/>
        <v>45680</v>
      </c>
      <c r="I33" s="63">
        <f t="shared" si="25"/>
        <v>46680</v>
      </c>
    </row>
    <row r="34" spans="1:9" x14ac:dyDescent="0.45">
      <c r="A34" s="83" t="s">
        <v>13</v>
      </c>
      <c r="B34" s="83"/>
      <c r="C34" s="63">
        <f t="shared" ref="C34:I34" si="26">SUM(C24,C28,C32)</f>
        <v>196849.5</v>
      </c>
      <c r="D34" s="63">
        <f t="shared" si="26"/>
        <v>208249.5</v>
      </c>
      <c r="E34" s="63">
        <f t="shared" si="26"/>
        <v>219649.5</v>
      </c>
      <c r="F34" s="63">
        <f t="shared" si="26"/>
        <v>231049.5</v>
      </c>
      <c r="G34" s="63">
        <f t="shared" si="26"/>
        <v>242449.5</v>
      </c>
      <c r="H34" s="63">
        <f t="shared" si="26"/>
        <v>248149.5</v>
      </c>
      <c r="I34" s="63">
        <f t="shared" si="26"/>
        <v>253849.5</v>
      </c>
    </row>
    <row r="35" spans="1:9" ht="16" customHeight="1" x14ac:dyDescent="0.45">
      <c r="A35" s="84" t="s">
        <v>16</v>
      </c>
      <c r="B35" s="84"/>
      <c r="C35" s="84"/>
      <c r="D35" s="84"/>
      <c r="E35" s="84"/>
      <c r="F35" s="84"/>
      <c r="G35" s="84"/>
      <c r="H35" s="84"/>
      <c r="I35" s="84"/>
    </row>
    <row r="36" spans="1:9" ht="4" customHeight="1" x14ac:dyDescent="0.45">
      <c r="A36" s="84"/>
      <c r="B36" s="84"/>
      <c r="C36" s="84"/>
      <c r="D36" s="84"/>
      <c r="E36" s="84"/>
      <c r="F36" s="84"/>
      <c r="G36" s="84"/>
      <c r="H36" s="84"/>
      <c r="I36" s="84"/>
    </row>
    <row r="37" spans="1:9" ht="2.15" customHeight="1" x14ac:dyDescent="0.45">
      <c r="A37" s="84"/>
      <c r="B37" s="84"/>
      <c r="C37" s="84"/>
      <c r="D37" s="84"/>
      <c r="E37" s="84"/>
      <c r="F37" s="84"/>
      <c r="G37" s="84"/>
      <c r="H37" s="84"/>
      <c r="I37" s="84"/>
    </row>
    <row r="38" spans="1:9" x14ac:dyDescent="0.45">
      <c r="A38" s="64" t="s">
        <v>17</v>
      </c>
      <c r="B38" s="64"/>
      <c r="C38" s="86" t="s">
        <v>18</v>
      </c>
      <c r="D38" s="86"/>
      <c r="E38" s="7">
        <v>5000</v>
      </c>
      <c r="F38" s="57"/>
      <c r="G38" s="65"/>
      <c r="H38" s="56"/>
      <c r="I38" s="56"/>
    </row>
    <row r="39" spans="1:9" x14ac:dyDescent="0.45">
      <c r="A39" s="64"/>
      <c r="B39" s="64"/>
      <c r="C39" s="86" t="s">
        <v>19</v>
      </c>
      <c r="D39" s="86"/>
      <c r="E39" s="7">
        <v>3000</v>
      </c>
      <c r="F39" s="57"/>
      <c r="G39" s="65"/>
      <c r="H39" s="56"/>
      <c r="I39" s="56"/>
    </row>
    <row r="40" spans="1:9" x14ac:dyDescent="0.45">
      <c r="A40" s="64"/>
      <c r="B40" s="64"/>
      <c r="C40" s="87" t="s">
        <v>20</v>
      </c>
      <c r="D40" s="87"/>
      <c r="E40" s="7">
        <v>3000</v>
      </c>
      <c r="F40" s="66"/>
      <c r="G40" s="67"/>
      <c r="H40" s="56"/>
      <c r="I40" s="56"/>
    </row>
    <row r="41" spans="1:9" ht="23.15" x14ac:dyDescent="0.45">
      <c r="A41" s="20" t="s">
        <v>21</v>
      </c>
      <c r="B41" s="20" t="s">
        <v>22</v>
      </c>
      <c r="C41" s="21" t="s">
        <v>23</v>
      </c>
      <c r="D41" s="21" t="s">
        <v>24</v>
      </c>
      <c r="E41" s="21" t="s">
        <v>25</v>
      </c>
      <c r="F41" s="21" t="s">
        <v>26</v>
      </c>
      <c r="G41" s="20" t="s">
        <v>27</v>
      </c>
      <c r="H41" s="20" t="s">
        <v>28</v>
      </c>
      <c r="I41" s="20" t="s">
        <v>29</v>
      </c>
    </row>
    <row r="42" spans="1:9" x14ac:dyDescent="0.45">
      <c r="A42" s="16" t="s">
        <v>30</v>
      </c>
      <c r="B42" s="7">
        <f>B43*2</f>
        <v>7000</v>
      </c>
      <c r="C42" s="7">
        <f t="shared" ref="C42:H42" si="27">C43*2</f>
        <v>5000</v>
      </c>
      <c r="D42" s="7">
        <v>1000</v>
      </c>
      <c r="E42" s="7">
        <f t="shared" si="27"/>
        <v>1500</v>
      </c>
      <c r="F42" s="7">
        <f t="shared" si="27"/>
        <v>1000</v>
      </c>
      <c r="G42" s="7">
        <f t="shared" si="27"/>
        <v>1000</v>
      </c>
      <c r="H42" s="7">
        <f t="shared" si="27"/>
        <v>2000</v>
      </c>
      <c r="I42" s="7">
        <f>SUM(B42:H42)</f>
        <v>18500</v>
      </c>
    </row>
    <row r="43" spans="1:9" x14ac:dyDescent="0.45">
      <c r="A43" s="16" t="s">
        <v>31</v>
      </c>
      <c r="B43" s="7">
        <v>3500</v>
      </c>
      <c r="C43" s="7">
        <v>2500</v>
      </c>
      <c r="D43" s="22">
        <v>1000</v>
      </c>
      <c r="E43" s="22">
        <v>750</v>
      </c>
      <c r="F43" s="22">
        <v>500</v>
      </c>
      <c r="G43" s="7">
        <v>500</v>
      </c>
      <c r="H43" s="7">
        <v>1000</v>
      </c>
      <c r="I43" s="7">
        <f>SUM(B43:H43)</f>
        <v>9750</v>
      </c>
    </row>
    <row r="44" spans="1:9" ht="16" customHeight="1" x14ac:dyDescent="0.45">
      <c r="A44" s="91" t="s">
        <v>71</v>
      </c>
      <c r="B44" s="91"/>
      <c r="C44" s="91"/>
      <c r="D44" s="91"/>
      <c r="E44" s="91"/>
      <c r="F44" s="91"/>
      <c r="G44" s="91"/>
      <c r="H44" s="91"/>
      <c r="I44" s="91"/>
    </row>
    <row r="45" spans="1:9" ht="16" customHeight="1" x14ac:dyDescent="0.45">
      <c r="A45" s="91" t="s">
        <v>45</v>
      </c>
      <c r="B45" s="91"/>
      <c r="C45" s="91"/>
      <c r="D45" s="91"/>
      <c r="E45" s="91"/>
      <c r="F45" s="91"/>
      <c r="G45" s="91"/>
      <c r="H45" s="91"/>
      <c r="I45" s="91"/>
    </row>
    <row r="46" spans="1:9" ht="30.65" customHeight="1" x14ac:dyDescent="0.45">
      <c r="A46" s="91" t="s">
        <v>46</v>
      </c>
      <c r="B46" s="91"/>
      <c r="C46" s="91"/>
      <c r="D46" s="91"/>
      <c r="E46" s="91"/>
      <c r="F46" s="91"/>
      <c r="G46" s="91"/>
      <c r="H46" s="91"/>
      <c r="I46" s="91"/>
    </row>
    <row r="47" spans="1:9" ht="44.15" customHeight="1" x14ac:dyDescent="0.45">
      <c r="A47" s="92" t="s">
        <v>43</v>
      </c>
      <c r="B47" s="92"/>
      <c r="C47" s="92"/>
      <c r="D47" s="92"/>
      <c r="E47" s="92"/>
      <c r="F47" s="92"/>
      <c r="G47" s="92"/>
      <c r="H47" s="92"/>
      <c r="I47" s="92"/>
    </row>
    <row r="48" spans="1:9" ht="14.5" customHeight="1" x14ac:dyDescent="0.45">
      <c r="A48" s="91" t="s">
        <v>32</v>
      </c>
      <c r="B48" s="91"/>
      <c r="C48" s="91"/>
      <c r="D48" s="91"/>
      <c r="E48" s="91"/>
      <c r="F48" s="91"/>
      <c r="G48" s="91"/>
      <c r="H48" s="91"/>
      <c r="I48" s="91"/>
    </row>
    <row r="49" spans="1:9" x14ac:dyDescent="0.45">
      <c r="A49" s="96" t="s">
        <v>85</v>
      </c>
      <c r="B49" s="96"/>
      <c r="C49" s="96"/>
      <c r="D49" s="96"/>
      <c r="E49" s="96"/>
      <c r="F49" s="96"/>
      <c r="G49" s="96"/>
      <c r="H49" s="96"/>
      <c r="I49" s="96"/>
    </row>
    <row r="50" spans="1:9" x14ac:dyDescent="0.45">
      <c r="A50" s="145" t="s">
        <v>74</v>
      </c>
      <c r="B50" s="145"/>
      <c r="C50" s="145"/>
      <c r="D50" s="145"/>
      <c r="E50" s="145"/>
      <c r="F50" s="145"/>
      <c r="G50" s="145"/>
      <c r="H50" s="145"/>
      <c r="I50" s="145"/>
    </row>
    <row r="51" spans="1:9" x14ac:dyDescent="0.45">
      <c r="A51" s="73" t="s">
        <v>9</v>
      </c>
      <c r="B51" s="74"/>
      <c r="C51" s="74"/>
      <c r="D51" s="74"/>
      <c r="E51" s="74"/>
      <c r="F51" s="74"/>
      <c r="G51" s="74"/>
      <c r="H51" s="74"/>
      <c r="I51" s="88"/>
    </row>
  </sheetData>
  <mergeCells count="24">
    <mergeCell ref="A1:I1"/>
    <mergeCell ref="A2:I2"/>
    <mergeCell ref="C38:D38"/>
    <mergeCell ref="A5:A9"/>
    <mergeCell ref="A10:A14"/>
    <mergeCell ref="A15:A19"/>
    <mergeCell ref="A20:B20"/>
    <mergeCell ref="A21:I21"/>
    <mergeCell ref="A22:A25"/>
    <mergeCell ref="A26:A29"/>
    <mergeCell ref="A30:A33"/>
    <mergeCell ref="A34:B34"/>
    <mergeCell ref="A35:I37"/>
    <mergeCell ref="A4:I4"/>
    <mergeCell ref="A51:I51"/>
    <mergeCell ref="A50:I50"/>
    <mergeCell ref="A48:I48"/>
    <mergeCell ref="A49:I49"/>
    <mergeCell ref="C39:D39"/>
    <mergeCell ref="C40:D40"/>
    <mergeCell ref="A44:I44"/>
    <mergeCell ref="A45:I45"/>
    <mergeCell ref="A46:I46"/>
    <mergeCell ref="A47:I47"/>
  </mergeCells>
  <pageMargins left="0.7" right="0.7" top="0.75" bottom="0.75" header="0.3" footer="0.3"/>
  <pageSetup paperSize="9" scale="4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O51"/>
  <sheetViews>
    <sheetView zoomScale="78" workbookViewId="0">
      <selection activeCell="G22" sqref="G22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 x14ac:dyDescent="0.45">
      <c r="A1" s="71" t="s">
        <v>123</v>
      </c>
      <c r="B1" s="71"/>
      <c r="C1" s="71"/>
      <c r="D1" s="71"/>
      <c r="E1" s="71"/>
      <c r="F1" s="71"/>
      <c r="G1" s="71"/>
      <c r="H1" s="71"/>
      <c r="I1" s="71"/>
    </row>
    <row r="2" spans="1:15" ht="38.25" customHeight="1" x14ac:dyDescent="0.45">
      <c r="A2" s="72" t="s">
        <v>124</v>
      </c>
      <c r="B2" s="71"/>
      <c r="C2" s="71"/>
      <c r="D2" s="71"/>
      <c r="E2" s="71"/>
      <c r="F2" s="71"/>
      <c r="G2" s="71"/>
      <c r="H2" s="71"/>
      <c r="I2" s="71"/>
    </row>
    <row r="3" spans="1:15" ht="62.15" customHeight="1" x14ac:dyDescent="0.45">
      <c r="A3" s="43" t="s">
        <v>1</v>
      </c>
      <c r="B3" s="44" t="s">
        <v>2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15" x14ac:dyDescent="0.45">
      <c r="A4" s="78" t="s">
        <v>0</v>
      </c>
      <c r="B4" s="79"/>
      <c r="C4" s="79"/>
      <c r="D4" s="79"/>
      <c r="E4" s="79"/>
      <c r="F4" s="79"/>
      <c r="G4" s="79"/>
      <c r="H4" s="79"/>
      <c r="I4" s="79"/>
    </row>
    <row r="5" spans="1:15" x14ac:dyDescent="0.45">
      <c r="A5" s="81" t="s">
        <v>38</v>
      </c>
      <c r="B5" s="27" t="s">
        <v>10</v>
      </c>
      <c r="C5" s="2">
        <v>62100</v>
      </c>
      <c r="D5" s="2">
        <f>C5</f>
        <v>62100</v>
      </c>
      <c r="E5" s="2">
        <f t="shared" ref="E5:I5" si="0">D5</f>
        <v>62100</v>
      </c>
      <c r="F5" s="2">
        <f t="shared" si="0"/>
        <v>62100</v>
      </c>
      <c r="G5" s="2">
        <f t="shared" si="0"/>
        <v>62100</v>
      </c>
      <c r="H5" s="2">
        <f t="shared" si="0"/>
        <v>62100</v>
      </c>
      <c r="I5" s="2">
        <f t="shared" si="0"/>
        <v>62100</v>
      </c>
    </row>
    <row r="6" spans="1:15" x14ac:dyDescent="0.45">
      <c r="A6" s="82"/>
      <c r="B6" s="27" t="s">
        <v>11</v>
      </c>
      <c r="C6" s="49">
        <v>17500</v>
      </c>
      <c r="D6" s="49">
        <v>15500</v>
      </c>
      <c r="E6" s="49">
        <v>13500</v>
      </c>
      <c r="F6" s="49">
        <v>11500</v>
      </c>
      <c r="G6" s="49">
        <v>9500</v>
      </c>
      <c r="H6" s="49">
        <v>8500</v>
      </c>
      <c r="I6" s="49">
        <v>7500</v>
      </c>
    </row>
    <row r="7" spans="1:15" x14ac:dyDescent="0.45">
      <c r="A7" s="82"/>
      <c r="B7" s="58" t="s">
        <v>44</v>
      </c>
      <c r="C7" s="59">
        <v>7500</v>
      </c>
      <c r="D7" s="59">
        <f>C7</f>
        <v>7500</v>
      </c>
      <c r="E7" s="59">
        <f t="shared" ref="E7:I7" si="1">D7</f>
        <v>7500</v>
      </c>
      <c r="F7" s="59">
        <f t="shared" si="1"/>
        <v>7500</v>
      </c>
      <c r="G7" s="59">
        <f t="shared" si="1"/>
        <v>7500</v>
      </c>
      <c r="H7" s="59">
        <f t="shared" si="1"/>
        <v>7500</v>
      </c>
      <c r="I7" s="59">
        <f t="shared" si="1"/>
        <v>7500</v>
      </c>
    </row>
    <row r="8" spans="1:15" x14ac:dyDescent="0.45">
      <c r="A8" s="82"/>
      <c r="B8" s="58" t="s">
        <v>47</v>
      </c>
      <c r="C8" s="59">
        <f>(((C5-C6)*0.95)*2)-C7*2</f>
        <v>69740</v>
      </c>
      <c r="D8" s="59">
        <f t="shared" ref="D8:I8" si="2">(((D5-D6)*0.95)*2)-D7*2</f>
        <v>73540</v>
      </c>
      <c r="E8" s="59">
        <f t="shared" si="2"/>
        <v>77340</v>
      </c>
      <c r="F8" s="59">
        <f t="shared" si="2"/>
        <v>81140</v>
      </c>
      <c r="G8" s="59">
        <f t="shared" si="2"/>
        <v>84940</v>
      </c>
      <c r="H8" s="59">
        <f t="shared" si="2"/>
        <v>86840</v>
      </c>
      <c r="I8" s="59">
        <f t="shared" si="2"/>
        <v>88740</v>
      </c>
      <c r="J8" s="19"/>
      <c r="K8" s="19"/>
      <c r="L8" s="19"/>
      <c r="M8" s="19"/>
      <c r="N8" s="19"/>
      <c r="O8" s="19"/>
    </row>
    <row r="9" spans="1:15" x14ac:dyDescent="0.45">
      <c r="A9" s="82"/>
      <c r="B9" s="58" t="s">
        <v>48</v>
      </c>
      <c r="C9" s="59">
        <f>(C5-C6)-C7</f>
        <v>37100</v>
      </c>
      <c r="D9" s="59">
        <f t="shared" ref="D9:I9" si="3">(D5-D6)-D7</f>
        <v>39100</v>
      </c>
      <c r="E9" s="59">
        <f t="shared" si="3"/>
        <v>41100</v>
      </c>
      <c r="F9" s="59">
        <f t="shared" si="3"/>
        <v>43100</v>
      </c>
      <c r="G9" s="59">
        <f t="shared" si="3"/>
        <v>45100</v>
      </c>
      <c r="H9" s="59">
        <f t="shared" si="3"/>
        <v>46100</v>
      </c>
      <c r="I9" s="59">
        <f t="shared" si="3"/>
        <v>47100</v>
      </c>
    </row>
    <row r="10" spans="1:15" ht="16" customHeight="1" x14ac:dyDescent="0.45">
      <c r="A10" s="81" t="s">
        <v>39</v>
      </c>
      <c r="B10" s="27" t="s">
        <v>12</v>
      </c>
      <c r="C10" s="2">
        <v>63550</v>
      </c>
      <c r="D10" s="2">
        <f t="shared" ref="D10:I10" si="4">C10</f>
        <v>63550</v>
      </c>
      <c r="E10" s="2">
        <f t="shared" si="4"/>
        <v>63550</v>
      </c>
      <c r="F10" s="2">
        <f t="shared" si="4"/>
        <v>63550</v>
      </c>
      <c r="G10" s="2">
        <f t="shared" si="4"/>
        <v>63550</v>
      </c>
      <c r="H10" s="2">
        <f t="shared" si="4"/>
        <v>63550</v>
      </c>
      <c r="I10" s="2">
        <f t="shared" si="4"/>
        <v>63550</v>
      </c>
    </row>
    <row r="11" spans="1:15" x14ac:dyDescent="0.45">
      <c r="A11" s="82"/>
      <c r="B11" s="27" t="s">
        <v>11</v>
      </c>
      <c r="C11" s="2">
        <f t="shared" ref="C11:I11" si="5">C6</f>
        <v>17500</v>
      </c>
      <c r="D11" s="2">
        <f t="shared" si="5"/>
        <v>15500</v>
      </c>
      <c r="E11" s="2">
        <f t="shared" si="5"/>
        <v>13500</v>
      </c>
      <c r="F11" s="2">
        <f t="shared" si="5"/>
        <v>11500</v>
      </c>
      <c r="G11" s="2">
        <f t="shared" si="5"/>
        <v>9500</v>
      </c>
      <c r="H11" s="2">
        <f t="shared" si="5"/>
        <v>8500</v>
      </c>
      <c r="I11" s="2">
        <f t="shared" si="5"/>
        <v>7500</v>
      </c>
    </row>
    <row r="12" spans="1:15" x14ac:dyDescent="0.45">
      <c r="A12" s="82"/>
      <c r="B12" s="60" t="s">
        <v>44</v>
      </c>
      <c r="C12" s="61">
        <f>C7</f>
        <v>7500</v>
      </c>
      <c r="D12" s="61">
        <f>C12</f>
        <v>7500</v>
      </c>
      <c r="E12" s="61">
        <f t="shared" ref="E12:I12" si="6">D12</f>
        <v>7500</v>
      </c>
      <c r="F12" s="61">
        <f t="shared" si="6"/>
        <v>7500</v>
      </c>
      <c r="G12" s="61">
        <f t="shared" si="6"/>
        <v>7500</v>
      </c>
      <c r="H12" s="61">
        <f t="shared" si="6"/>
        <v>7500</v>
      </c>
      <c r="I12" s="61">
        <f t="shared" si="6"/>
        <v>7500</v>
      </c>
    </row>
    <row r="13" spans="1:15" x14ac:dyDescent="0.45">
      <c r="A13" s="82"/>
      <c r="B13" s="60" t="s">
        <v>47</v>
      </c>
      <c r="C13" s="61">
        <f>(((C10-C11)*0.95)*2)-C12*2</f>
        <v>72495</v>
      </c>
      <c r="D13" s="61">
        <f t="shared" ref="D13:I13" si="7">(((D10-D11)*0.95)*2)-D12*2</f>
        <v>76295</v>
      </c>
      <c r="E13" s="61">
        <f t="shared" si="7"/>
        <v>80095</v>
      </c>
      <c r="F13" s="61">
        <f t="shared" si="7"/>
        <v>83895</v>
      </c>
      <c r="G13" s="61">
        <f t="shared" si="7"/>
        <v>87695</v>
      </c>
      <c r="H13" s="61">
        <f t="shared" si="7"/>
        <v>89595</v>
      </c>
      <c r="I13" s="61">
        <f t="shared" si="7"/>
        <v>91495</v>
      </c>
    </row>
    <row r="14" spans="1:15" x14ac:dyDescent="0.45">
      <c r="A14" s="82"/>
      <c r="B14" s="60" t="s">
        <v>48</v>
      </c>
      <c r="C14" s="61">
        <f>(C10-C11)-C12</f>
        <v>38550</v>
      </c>
      <c r="D14" s="61">
        <f t="shared" ref="D14:I14" si="8">(D10-D11)-D12</f>
        <v>40550</v>
      </c>
      <c r="E14" s="61">
        <f t="shared" si="8"/>
        <v>42550</v>
      </c>
      <c r="F14" s="61">
        <f t="shared" si="8"/>
        <v>44550</v>
      </c>
      <c r="G14" s="61">
        <f t="shared" si="8"/>
        <v>46550</v>
      </c>
      <c r="H14" s="61">
        <f t="shared" si="8"/>
        <v>47550</v>
      </c>
      <c r="I14" s="61">
        <f t="shared" si="8"/>
        <v>48550</v>
      </c>
    </row>
    <row r="15" spans="1:15" x14ac:dyDescent="0.45">
      <c r="A15" s="81" t="s">
        <v>40</v>
      </c>
      <c r="B15" s="27" t="s">
        <v>12</v>
      </c>
      <c r="C15" s="2">
        <f>C10*1.05</f>
        <v>66727.5</v>
      </c>
      <c r="D15" s="2">
        <f t="shared" ref="D15:I15" si="9">C15</f>
        <v>66727.5</v>
      </c>
      <c r="E15" s="2">
        <f t="shared" si="9"/>
        <v>66727.5</v>
      </c>
      <c r="F15" s="2">
        <f t="shared" si="9"/>
        <v>66727.5</v>
      </c>
      <c r="G15" s="2">
        <f t="shared" si="9"/>
        <v>66727.5</v>
      </c>
      <c r="H15" s="2">
        <f t="shared" si="9"/>
        <v>66727.5</v>
      </c>
      <c r="I15" s="2">
        <f t="shared" si="9"/>
        <v>66727.5</v>
      </c>
    </row>
    <row r="16" spans="1:15" x14ac:dyDescent="0.45">
      <c r="A16" s="82"/>
      <c r="B16" s="27" t="s">
        <v>11</v>
      </c>
      <c r="C16" s="2">
        <f t="shared" ref="C16:I16" si="10">C11</f>
        <v>17500</v>
      </c>
      <c r="D16" s="2">
        <f t="shared" si="10"/>
        <v>15500</v>
      </c>
      <c r="E16" s="2">
        <f t="shared" si="10"/>
        <v>13500</v>
      </c>
      <c r="F16" s="2">
        <f t="shared" si="10"/>
        <v>11500</v>
      </c>
      <c r="G16" s="2">
        <f t="shared" si="10"/>
        <v>9500</v>
      </c>
      <c r="H16" s="2">
        <f t="shared" si="10"/>
        <v>8500</v>
      </c>
      <c r="I16" s="2">
        <f t="shared" si="10"/>
        <v>7500</v>
      </c>
    </row>
    <row r="17" spans="1:9" x14ac:dyDescent="0.45">
      <c r="A17" s="82"/>
      <c r="B17" s="62" t="s">
        <v>44</v>
      </c>
      <c r="C17" s="63">
        <f>C12</f>
        <v>7500</v>
      </c>
      <c r="D17" s="63">
        <f>C17</f>
        <v>7500</v>
      </c>
      <c r="E17" s="63">
        <f t="shared" ref="E17:I17" si="11">D17</f>
        <v>7500</v>
      </c>
      <c r="F17" s="63">
        <f t="shared" si="11"/>
        <v>7500</v>
      </c>
      <c r="G17" s="63">
        <f t="shared" si="11"/>
        <v>7500</v>
      </c>
      <c r="H17" s="63">
        <f t="shared" si="11"/>
        <v>7500</v>
      </c>
      <c r="I17" s="63">
        <f t="shared" si="11"/>
        <v>7500</v>
      </c>
    </row>
    <row r="18" spans="1:9" x14ac:dyDescent="0.45">
      <c r="A18" s="82"/>
      <c r="B18" s="62" t="s">
        <v>47</v>
      </c>
      <c r="C18" s="63">
        <f>(((C15-C16)*0.95)*2)-C17*2</f>
        <v>78532.25</v>
      </c>
      <c r="D18" s="63">
        <f t="shared" ref="D18:I18" si="12">(((D15-D16)*0.95)*2)-D17*2</f>
        <v>82332.25</v>
      </c>
      <c r="E18" s="63">
        <f t="shared" si="12"/>
        <v>86132.25</v>
      </c>
      <c r="F18" s="63">
        <f t="shared" si="12"/>
        <v>89932.25</v>
      </c>
      <c r="G18" s="63">
        <f t="shared" si="12"/>
        <v>93732.25</v>
      </c>
      <c r="H18" s="63">
        <f t="shared" si="12"/>
        <v>95632.25</v>
      </c>
      <c r="I18" s="63">
        <f t="shared" si="12"/>
        <v>97532.25</v>
      </c>
    </row>
    <row r="19" spans="1:9" x14ac:dyDescent="0.45">
      <c r="A19" s="82"/>
      <c r="B19" s="62" t="s">
        <v>48</v>
      </c>
      <c r="C19" s="63">
        <f>(C15-C16)-C17</f>
        <v>41727.5</v>
      </c>
      <c r="D19" s="63">
        <f t="shared" ref="D19:I19" si="13">(D15-D16)-D17</f>
        <v>43727.5</v>
      </c>
      <c r="E19" s="63">
        <f t="shared" si="13"/>
        <v>45727.5</v>
      </c>
      <c r="F19" s="63">
        <f t="shared" si="13"/>
        <v>47727.5</v>
      </c>
      <c r="G19" s="63">
        <f t="shared" si="13"/>
        <v>49727.5</v>
      </c>
      <c r="H19" s="63">
        <f t="shared" si="13"/>
        <v>50727.5</v>
      </c>
      <c r="I19" s="63">
        <f t="shared" si="13"/>
        <v>51727.5</v>
      </c>
    </row>
    <row r="20" spans="1:9" x14ac:dyDescent="0.45">
      <c r="A20" s="83" t="s">
        <v>13</v>
      </c>
      <c r="B20" s="83"/>
      <c r="C20" s="63">
        <f t="shared" ref="C20:I20" si="14">SUM(C8,C13,C18)</f>
        <v>220767.25</v>
      </c>
      <c r="D20" s="63">
        <f t="shared" si="14"/>
        <v>232167.25</v>
      </c>
      <c r="E20" s="63">
        <f t="shared" si="14"/>
        <v>243567.25</v>
      </c>
      <c r="F20" s="63">
        <f t="shared" si="14"/>
        <v>254967.25</v>
      </c>
      <c r="G20" s="63">
        <f t="shared" si="14"/>
        <v>266367.25</v>
      </c>
      <c r="H20" s="63">
        <f t="shared" si="14"/>
        <v>272067.25</v>
      </c>
      <c r="I20" s="63">
        <f t="shared" si="14"/>
        <v>277767.25</v>
      </c>
    </row>
    <row r="21" spans="1:9" x14ac:dyDescent="0.45">
      <c r="A21" s="71" t="s">
        <v>14</v>
      </c>
      <c r="B21" s="71"/>
      <c r="C21" s="71"/>
      <c r="D21" s="71"/>
      <c r="E21" s="71"/>
      <c r="F21" s="71"/>
      <c r="G21" s="71"/>
      <c r="H21" s="71"/>
      <c r="I21" s="71"/>
    </row>
    <row r="22" spans="1:9" ht="28" customHeight="1" x14ac:dyDescent="0.45">
      <c r="A22" s="81" t="s">
        <v>38</v>
      </c>
      <c r="B22" s="15" t="s">
        <v>15</v>
      </c>
      <c r="C22" s="2">
        <f>C5*0.75</f>
        <v>46575</v>
      </c>
      <c r="D22" s="2">
        <f t="shared" ref="D22:I22" si="15">C22</f>
        <v>46575</v>
      </c>
      <c r="E22" s="2">
        <f t="shared" si="15"/>
        <v>46575</v>
      </c>
      <c r="F22" s="2">
        <f t="shared" si="15"/>
        <v>46575</v>
      </c>
      <c r="G22" s="2">
        <f t="shared" si="15"/>
        <v>46575</v>
      </c>
      <c r="H22" s="2">
        <f t="shared" si="15"/>
        <v>46575</v>
      </c>
      <c r="I22" s="2">
        <f t="shared" si="15"/>
        <v>46575</v>
      </c>
    </row>
    <row r="23" spans="1:9" x14ac:dyDescent="0.45">
      <c r="A23" s="82"/>
      <c r="B23" s="15" t="s">
        <v>11</v>
      </c>
      <c r="C23" s="49">
        <v>17500</v>
      </c>
      <c r="D23" s="49">
        <v>15500</v>
      </c>
      <c r="E23" s="49">
        <v>13500</v>
      </c>
      <c r="F23" s="49">
        <v>11500</v>
      </c>
      <c r="G23" s="49">
        <v>9500</v>
      </c>
      <c r="H23" s="49">
        <v>8500</v>
      </c>
      <c r="I23" s="49">
        <v>7500</v>
      </c>
    </row>
    <row r="24" spans="1:9" x14ac:dyDescent="0.45">
      <c r="A24" s="82"/>
      <c r="B24" s="58" t="s">
        <v>47</v>
      </c>
      <c r="C24" s="59">
        <f>((C22-C23)*0.95)*2</f>
        <v>55242.5</v>
      </c>
      <c r="D24" s="59">
        <f t="shared" ref="D24:I24" si="16">((D22-D23)*0.95)*2</f>
        <v>59042.5</v>
      </c>
      <c r="E24" s="59">
        <f t="shared" si="16"/>
        <v>62842.5</v>
      </c>
      <c r="F24" s="59">
        <f t="shared" si="16"/>
        <v>66642.5</v>
      </c>
      <c r="G24" s="59">
        <f t="shared" si="16"/>
        <v>70442.5</v>
      </c>
      <c r="H24" s="59">
        <f t="shared" si="16"/>
        <v>72342.5</v>
      </c>
      <c r="I24" s="59">
        <f t="shared" si="16"/>
        <v>74242.5</v>
      </c>
    </row>
    <row r="25" spans="1:9" x14ac:dyDescent="0.45">
      <c r="A25" s="82"/>
      <c r="B25" s="33" t="s">
        <v>48</v>
      </c>
      <c r="C25" s="59">
        <f>(C22-C23)</f>
        <v>29075</v>
      </c>
      <c r="D25" s="59">
        <f t="shared" ref="D25:I25" si="17">(D22-D23)</f>
        <v>31075</v>
      </c>
      <c r="E25" s="59">
        <f t="shared" si="17"/>
        <v>33075</v>
      </c>
      <c r="F25" s="59">
        <f t="shared" si="17"/>
        <v>35075</v>
      </c>
      <c r="G25" s="59">
        <f t="shared" si="17"/>
        <v>37075</v>
      </c>
      <c r="H25" s="59">
        <f t="shared" si="17"/>
        <v>38075</v>
      </c>
      <c r="I25" s="59">
        <f t="shared" si="17"/>
        <v>39075</v>
      </c>
    </row>
    <row r="26" spans="1:9" ht="24" customHeight="1" x14ac:dyDescent="0.45">
      <c r="A26" s="81" t="s">
        <v>39</v>
      </c>
      <c r="B26" s="15" t="s">
        <v>15</v>
      </c>
      <c r="C26" s="2">
        <f>C10*0.75</f>
        <v>47662.5</v>
      </c>
      <c r="D26" s="2">
        <f t="shared" ref="D26:I26" si="18">C26</f>
        <v>47662.5</v>
      </c>
      <c r="E26" s="2">
        <f t="shared" si="18"/>
        <v>47662.5</v>
      </c>
      <c r="F26" s="2">
        <f t="shared" si="18"/>
        <v>47662.5</v>
      </c>
      <c r="G26" s="2">
        <f t="shared" si="18"/>
        <v>47662.5</v>
      </c>
      <c r="H26" s="2">
        <f t="shared" si="18"/>
        <v>47662.5</v>
      </c>
      <c r="I26" s="2">
        <f t="shared" si="18"/>
        <v>47662.5</v>
      </c>
    </row>
    <row r="27" spans="1:9" x14ac:dyDescent="0.45">
      <c r="A27" s="82"/>
      <c r="B27" s="15" t="s">
        <v>11</v>
      </c>
      <c r="C27" s="2">
        <f t="shared" ref="C27:I27" si="19">C23</f>
        <v>17500</v>
      </c>
      <c r="D27" s="2">
        <f t="shared" si="19"/>
        <v>15500</v>
      </c>
      <c r="E27" s="2">
        <f t="shared" si="19"/>
        <v>13500</v>
      </c>
      <c r="F27" s="2">
        <f t="shared" si="19"/>
        <v>11500</v>
      </c>
      <c r="G27" s="2">
        <f t="shared" si="19"/>
        <v>9500</v>
      </c>
      <c r="H27" s="2">
        <f t="shared" si="19"/>
        <v>8500</v>
      </c>
      <c r="I27" s="2">
        <f t="shared" si="19"/>
        <v>7500</v>
      </c>
    </row>
    <row r="28" spans="1:9" x14ac:dyDescent="0.45">
      <c r="A28" s="82"/>
      <c r="B28" s="60" t="s">
        <v>47</v>
      </c>
      <c r="C28" s="61">
        <f>((C26-C27)*0.95)*2</f>
        <v>57308.75</v>
      </c>
      <c r="D28" s="61">
        <f t="shared" ref="D28:I28" si="20">((D26-D27)*0.95)*2</f>
        <v>61108.75</v>
      </c>
      <c r="E28" s="61">
        <f t="shared" si="20"/>
        <v>64908.75</v>
      </c>
      <c r="F28" s="61">
        <f t="shared" si="20"/>
        <v>68708.75</v>
      </c>
      <c r="G28" s="61">
        <f t="shared" si="20"/>
        <v>72508.75</v>
      </c>
      <c r="H28" s="61">
        <f t="shared" si="20"/>
        <v>74408.75</v>
      </c>
      <c r="I28" s="61">
        <f t="shared" si="20"/>
        <v>76308.75</v>
      </c>
    </row>
    <row r="29" spans="1:9" x14ac:dyDescent="0.45">
      <c r="A29" s="82"/>
      <c r="B29" s="31" t="s">
        <v>48</v>
      </c>
      <c r="C29" s="61">
        <f>(C26-C27)</f>
        <v>30162.5</v>
      </c>
      <c r="D29" s="61">
        <f t="shared" ref="D29:I29" si="21">(D26-D27)</f>
        <v>32162.5</v>
      </c>
      <c r="E29" s="61">
        <f t="shared" si="21"/>
        <v>34162.5</v>
      </c>
      <c r="F29" s="61">
        <f t="shared" si="21"/>
        <v>36162.5</v>
      </c>
      <c r="G29" s="61">
        <f t="shared" si="21"/>
        <v>38162.5</v>
      </c>
      <c r="H29" s="61">
        <f t="shared" si="21"/>
        <v>39162.5</v>
      </c>
      <c r="I29" s="61">
        <f t="shared" si="21"/>
        <v>40162.5</v>
      </c>
    </row>
    <row r="30" spans="1:9" x14ac:dyDescent="0.45">
      <c r="A30" s="81" t="s">
        <v>40</v>
      </c>
      <c r="B30" s="15" t="s">
        <v>15</v>
      </c>
      <c r="C30" s="2">
        <f>C26*1.05</f>
        <v>50045.625</v>
      </c>
      <c r="D30" s="2">
        <f t="shared" ref="D30:I30" si="22">C30</f>
        <v>50045.625</v>
      </c>
      <c r="E30" s="2">
        <f t="shared" si="22"/>
        <v>50045.625</v>
      </c>
      <c r="F30" s="2">
        <f t="shared" si="22"/>
        <v>50045.625</v>
      </c>
      <c r="G30" s="2">
        <f t="shared" si="22"/>
        <v>50045.625</v>
      </c>
      <c r="H30" s="2">
        <f t="shared" si="22"/>
        <v>50045.625</v>
      </c>
      <c r="I30" s="2">
        <f t="shared" si="22"/>
        <v>50045.625</v>
      </c>
    </row>
    <row r="31" spans="1:9" x14ac:dyDescent="0.45">
      <c r="A31" s="82"/>
      <c r="B31" s="15" t="s">
        <v>11</v>
      </c>
      <c r="C31" s="2">
        <f t="shared" ref="C31:I31" si="23">C27</f>
        <v>17500</v>
      </c>
      <c r="D31" s="2">
        <f t="shared" si="23"/>
        <v>15500</v>
      </c>
      <c r="E31" s="2">
        <f t="shared" si="23"/>
        <v>13500</v>
      </c>
      <c r="F31" s="2">
        <f t="shared" si="23"/>
        <v>11500</v>
      </c>
      <c r="G31" s="2">
        <f t="shared" si="23"/>
        <v>9500</v>
      </c>
      <c r="H31" s="2">
        <f t="shared" si="23"/>
        <v>8500</v>
      </c>
      <c r="I31" s="2">
        <f t="shared" si="23"/>
        <v>7500</v>
      </c>
    </row>
    <row r="32" spans="1:9" x14ac:dyDescent="0.45">
      <c r="A32" s="82"/>
      <c r="B32" s="62" t="s">
        <v>47</v>
      </c>
      <c r="C32" s="63">
        <f>((C30-C31)*0.95)*2</f>
        <v>61836.6875</v>
      </c>
      <c r="D32" s="63">
        <f t="shared" ref="D32:I32" si="24">((D30-D31)*0.95)*2</f>
        <v>65636.6875</v>
      </c>
      <c r="E32" s="63">
        <f t="shared" si="24"/>
        <v>69436.6875</v>
      </c>
      <c r="F32" s="63">
        <f t="shared" si="24"/>
        <v>73236.6875</v>
      </c>
      <c r="G32" s="63">
        <f t="shared" si="24"/>
        <v>77036.6875</v>
      </c>
      <c r="H32" s="63">
        <f t="shared" si="24"/>
        <v>78936.6875</v>
      </c>
      <c r="I32" s="63">
        <f t="shared" si="24"/>
        <v>80836.6875</v>
      </c>
    </row>
    <row r="33" spans="1:9" x14ac:dyDescent="0.45">
      <c r="A33" s="82"/>
      <c r="B33" s="32" t="s">
        <v>48</v>
      </c>
      <c r="C33" s="63">
        <f>(C30-C31)</f>
        <v>32545.625</v>
      </c>
      <c r="D33" s="63">
        <f t="shared" ref="D33:I33" si="25">(D30-D31)</f>
        <v>34545.625</v>
      </c>
      <c r="E33" s="63">
        <f t="shared" si="25"/>
        <v>36545.625</v>
      </c>
      <c r="F33" s="63">
        <f t="shared" si="25"/>
        <v>38545.625</v>
      </c>
      <c r="G33" s="63">
        <f t="shared" si="25"/>
        <v>40545.625</v>
      </c>
      <c r="H33" s="63">
        <f t="shared" si="25"/>
        <v>41545.625</v>
      </c>
      <c r="I33" s="63">
        <f t="shared" si="25"/>
        <v>42545.625</v>
      </c>
    </row>
    <row r="34" spans="1:9" x14ac:dyDescent="0.45">
      <c r="A34" s="83" t="s">
        <v>13</v>
      </c>
      <c r="B34" s="83"/>
      <c r="C34" s="63">
        <f t="shared" ref="C34:I34" si="26">SUM(C24,C28,C32)</f>
        <v>174387.9375</v>
      </c>
      <c r="D34" s="63">
        <f t="shared" si="26"/>
        <v>185787.9375</v>
      </c>
      <c r="E34" s="63">
        <f t="shared" si="26"/>
        <v>197187.9375</v>
      </c>
      <c r="F34" s="63">
        <f t="shared" si="26"/>
        <v>208587.9375</v>
      </c>
      <c r="G34" s="63">
        <f t="shared" si="26"/>
        <v>219987.9375</v>
      </c>
      <c r="H34" s="63">
        <f t="shared" si="26"/>
        <v>225687.9375</v>
      </c>
      <c r="I34" s="63">
        <f t="shared" si="26"/>
        <v>231387.9375</v>
      </c>
    </row>
    <row r="35" spans="1:9" ht="16" customHeight="1" x14ac:dyDescent="0.45">
      <c r="A35" s="84" t="s">
        <v>16</v>
      </c>
      <c r="B35" s="84"/>
      <c r="C35" s="84"/>
      <c r="D35" s="84"/>
      <c r="E35" s="84"/>
      <c r="F35" s="84"/>
      <c r="G35" s="84"/>
      <c r="H35" s="84"/>
      <c r="I35" s="84"/>
    </row>
    <row r="36" spans="1:9" ht="4" customHeight="1" x14ac:dyDescent="0.45">
      <c r="A36" s="84"/>
      <c r="B36" s="84"/>
      <c r="C36" s="84"/>
      <c r="D36" s="84"/>
      <c r="E36" s="84"/>
      <c r="F36" s="84"/>
      <c r="G36" s="84"/>
      <c r="H36" s="84"/>
      <c r="I36" s="84"/>
    </row>
    <row r="37" spans="1:9" ht="2.15" customHeight="1" x14ac:dyDescent="0.45">
      <c r="A37" s="84"/>
      <c r="B37" s="84"/>
      <c r="C37" s="84"/>
      <c r="D37" s="84"/>
      <c r="E37" s="84"/>
      <c r="F37" s="84"/>
      <c r="G37" s="84"/>
      <c r="H37" s="84"/>
      <c r="I37" s="84"/>
    </row>
    <row r="38" spans="1:9" x14ac:dyDescent="0.45">
      <c r="A38" s="64" t="s">
        <v>17</v>
      </c>
      <c r="B38" s="64"/>
      <c r="C38" s="86" t="s">
        <v>18</v>
      </c>
      <c r="D38" s="86"/>
      <c r="E38" s="7">
        <v>5000</v>
      </c>
      <c r="F38" s="57"/>
      <c r="G38" s="65"/>
      <c r="H38" s="56"/>
      <c r="I38" s="56"/>
    </row>
    <row r="39" spans="1:9" x14ac:dyDescent="0.45">
      <c r="A39" s="64"/>
      <c r="B39" s="64"/>
      <c r="C39" s="86" t="s">
        <v>19</v>
      </c>
      <c r="D39" s="86"/>
      <c r="E39" s="7">
        <v>3000</v>
      </c>
      <c r="F39" s="57"/>
      <c r="G39" s="65"/>
      <c r="H39" s="56"/>
      <c r="I39" s="56"/>
    </row>
    <row r="40" spans="1:9" x14ac:dyDescent="0.45">
      <c r="A40" s="64"/>
      <c r="B40" s="64"/>
      <c r="C40" s="87" t="s">
        <v>20</v>
      </c>
      <c r="D40" s="87"/>
      <c r="E40" s="7">
        <v>3000</v>
      </c>
      <c r="F40" s="66"/>
      <c r="G40" s="67"/>
      <c r="H40" s="56"/>
      <c r="I40" s="56"/>
    </row>
    <row r="41" spans="1:9" ht="23.15" x14ac:dyDescent="0.45">
      <c r="A41" s="20" t="s">
        <v>21</v>
      </c>
      <c r="B41" s="20" t="s">
        <v>22</v>
      </c>
      <c r="C41" s="21" t="s">
        <v>23</v>
      </c>
      <c r="D41" s="21" t="s">
        <v>24</v>
      </c>
      <c r="E41" s="21" t="s">
        <v>25</v>
      </c>
      <c r="F41" s="21" t="s">
        <v>26</v>
      </c>
      <c r="G41" s="20" t="s">
        <v>27</v>
      </c>
      <c r="H41" s="20" t="s">
        <v>28</v>
      </c>
      <c r="I41" s="20" t="s">
        <v>29</v>
      </c>
    </row>
    <row r="42" spans="1:9" x14ac:dyDescent="0.45">
      <c r="A42" s="16" t="s">
        <v>30</v>
      </c>
      <c r="B42" s="7">
        <f>B43*2</f>
        <v>7000</v>
      </c>
      <c r="C42" s="7">
        <f t="shared" ref="C42:H42" si="27">C43*2</f>
        <v>5000</v>
      </c>
      <c r="D42" s="7">
        <v>1000</v>
      </c>
      <c r="E42" s="7">
        <f t="shared" si="27"/>
        <v>1500</v>
      </c>
      <c r="F42" s="7">
        <f t="shared" si="27"/>
        <v>1000</v>
      </c>
      <c r="G42" s="7">
        <f t="shared" si="27"/>
        <v>1000</v>
      </c>
      <c r="H42" s="7">
        <f t="shared" si="27"/>
        <v>2000</v>
      </c>
      <c r="I42" s="7">
        <f>SUM(B42:H42)</f>
        <v>18500</v>
      </c>
    </row>
    <row r="43" spans="1:9" x14ac:dyDescent="0.45">
      <c r="A43" s="16" t="s">
        <v>31</v>
      </c>
      <c r="B43" s="7">
        <v>3500</v>
      </c>
      <c r="C43" s="7">
        <v>2500</v>
      </c>
      <c r="D43" s="22">
        <v>1000</v>
      </c>
      <c r="E43" s="22">
        <v>750</v>
      </c>
      <c r="F43" s="22">
        <v>500</v>
      </c>
      <c r="G43" s="7">
        <v>500</v>
      </c>
      <c r="H43" s="7">
        <v>1000</v>
      </c>
      <c r="I43" s="7">
        <f>SUM(B43:H43)</f>
        <v>9750</v>
      </c>
    </row>
    <row r="44" spans="1:9" ht="16" customHeight="1" x14ac:dyDescent="0.45">
      <c r="A44" s="91" t="s">
        <v>71</v>
      </c>
      <c r="B44" s="91"/>
      <c r="C44" s="91"/>
      <c r="D44" s="91"/>
      <c r="E44" s="91"/>
      <c r="F44" s="91"/>
      <c r="G44" s="91"/>
      <c r="H44" s="91"/>
      <c r="I44" s="91"/>
    </row>
    <row r="45" spans="1:9" ht="16" customHeight="1" x14ac:dyDescent="0.45">
      <c r="A45" s="91" t="s">
        <v>45</v>
      </c>
      <c r="B45" s="91"/>
      <c r="C45" s="91"/>
      <c r="D45" s="91"/>
      <c r="E45" s="91"/>
      <c r="F45" s="91"/>
      <c r="G45" s="91"/>
      <c r="H45" s="91"/>
      <c r="I45" s="91"/>
    </row>
    <row r="46" spans="1:9" ht="30.65" customHeight="1" x14ac:dyDescent="0.45">
      <c r="A46" s="91" t="s">
        <v>46</v>
      </c>
      <c r="B46" s="91"/>
      <c r="C46" s="91"/>
      <c r="D46" s="91"/>
      <c r="E46" s="91"/>
      <c r="F46" s="91"/>
      <c r="G46" s="91"/>
      <c r="H46" s="91"/>
      <c r="I46" s="91"/>
    </row>
    <row r="47" spans="1:9" ht="44.15" customHeight="1" x14ac:dyDescent="0.45">
      <c r="A47" s="92" t="s">
        <v>43</v>
      </c>
      <c r="B47" s="92"/>
      <c r="C47" s="92"/>
      <c r="D47" s="92"/>
      <c r="E47" s="92"/>
      <c r="F47" s="92"/>
      <c r="G47" s="92"/>
      <c r="H47" s="92"/>
      <c r="I47" s="92"/>
    </row>
    <row r="48" spans="1:9" ht="14.5" customHeight="1" x14ac:dyDescent="0.45">
      <c r="A48" s="91" t="s">
        <v>32</v>
      </c>
      <c r="B48" s="91"/>
      <c r="C48" s="91"/>
      <c r="D48" s="91"/>
      <c r="E48" s="91"/>
      <c r="F48" s="91"/>
      <c r="G48" s="91"/>
      <c r="H48" s="91"/>
      <c r="I48" s="91"/>
    </row>
    <row r="49" spans="1:9" x14ac:dyDescent="0.45">
      <c r="A49" s="96" t="s">
        <v>85</v>
      </c>
      <c r="B49" s="96"/>
      <c r="C49" s="96"/>
      <c r="D49" s="96"/>
      <c r="E49" s="96"/>
      <c r="F49" s="96"/>
      <c r="G49" s="96"/>
      <c r="H49" s="96"/>
      <c r="I49" s="96"/>
    </row>
    <row r="50" spans="1:9" x14ac:dyDescent="0.45">
      <c r="A50" s="145" t="s">
        <v>74</v>
      </c>
      <c r="B50" s="145"/>
      <c r="C50" s="145"/>
      <c r="D50" s="145"/>
      <c r="E50" s="145"/>
      <c r="F50" s="145"/>
      <c r="G50" s="145"/>
      <c r="H50" s="145"/>
      <c r="I50" s="145"/>
    </row>
    <row r="51" spans="1:9" x14ac:dyDescent="0.45">
      <c r="A51" s="73" t="s">
        <v>9</v>
      </c>
      <c r="B51" s="74"/>
      <c r="C51" s="74"/>
      <c r="D51" s="74"/>
      <c r="E51" s="74"/>
      <c r="F51" s="74"/>
      <c r="G51" s="74"/>
      <c r="H51" s="74"/>
      <c r="I51" s="88"/>
    </row>
  </sheetData>
  <mergeCells count="24">
    <mergeCell ref="A48:I48"/>
    <mergeCell ref="A49:I49"/>
    <mergeCell ref="A50:I50"/>
    <mergeCell ref="C39:D39"/>
    <mergeCell ref="C40:D40"/>
    <mergeCell ref="A44:I44"/>
    <mergeCell ref="A46:I46"/>
    <mergeCell ref="A47:I47"/>
    <mergeCell ref="A51:I51"/>
    <mergeCell ref="A4:I4"/>
    <mergeCell ref="A1:I1"/>
    <mergeCell ref="A2:I2"/>
    <mergeCell ref="A5:A9"/>
    <mergeCell ref="A10:A14"/>
    <mergeCell ref="A15:A19"/>
    <mergeCell ref="A20:B20"/>
    <mergeCell ref="A45:I45"/>
    <mergeCell ref="A21:I21"/>
    <mergeCell ref="A22:A25"/>
    <mergeCell ref="A26:A29"/>
    <mergeCell ref="A30:A33"/>
    <mergeCell ref="A34:B34"/>
    <mergeCell ref="A35:I37"/>
    <mergeCell ref="C38:D38"/>
  </mergeCells>
  <pageMargins left="0.7" right="0.7" top="0.75" bottom="0.75" header="0.3" footer="0.3"/>
  <pageSetup paperSize="9" scale="4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O51"/>
  <sheetViews>
    <sheetView zoomScale="57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 x14ac:dyDescent="0.45">
      <c r="A1" s="71" t="s">
        <v>125</v>
      </c>
      <c r="B1" s="71"/>
      <c r="C1" s="71"/>
      <c r="D1" s="71"/>
      <c r="E1" s="71"/>
      <c r="F1" s="71"/>
      <c r="G1" s="71"/>
      <c r="H1" s="71"/>
      <c r="I1" s="71"/>
    </row>
    <row r="2" spans="1:15" ht="38.25" customHeight="1" x14ac:dyDescent="0.45">
      <c r="A2" s="72" t="s">
        <v>126</v>
      </c>
      <c r="B2" s="71"/>
      <c r="C2" s="71"/>
      <c r="D2" s="71"/>
      <c r="E2" s="71"/>
      <c r="F2" s="71"/>
      <c r="G2" s="71"/>
      <c r="H2" s="71"/>
      <c r="I2" s="71"/>
    </row>
    <row r="3" spans="1:15" ht="62.15" customHeight="1" x14ac:dyDescent="0.45">
      <c r="A3" s="43" t="s">
        <v>1</v>
      </c>
      <c r="B3" s="44" t="s">
        <v>2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H3" s="43" t="s">
        <v>69</v>
      </c>
      <c r="I3" s="43" t="s">
        <v>70</v>
      </c>
    </row>
    <row r="4" spans="1:15" x14ac:dyDescent="0.45">
      <c r="A4" s="78" t="s">
        <v>0</v>
      </c>
      <c r="B4" s="79"/>
      <c r="C4" s="79"/>
      <c r="D4" s="79"/>
      <c r="E4" s="79"/>
      <c r="F4" s="79"/>
      <c r="G4" s="79"/>
      <c r="H4" s="79"/>
      <c r="I4" s="79"/>
    </row>
    <row r="5" spans="1:15" x14ac:dyDescent="0.45">
      <c r="A5" s="81" t="s">
        <v>38</v>
      </c>
      <c r="B5" s="27" t="s">
        <v>10</v>
      </c>
      <c r="C5" s="2">
        <v>62100</v>
      </c>
      <c r="D5" s="2">
        <f>C5</f>
        <v>62100</v>
      </c>
      <c r="E5" s="2">
        <f t="shared" ref="E5:I5" si="0">D5</f>
        <v>62100</v>
      </c>
      <c r="F5" s="2">
        <f t="shared" si="0"/>
        <v>62100</v>
      </c>
      <c r="G5" s="2">
        <f t="shared" si="0"/>
        <v>62100</v>
      </c>
      <c r="H5" s="2">
        <f t="shared" si="0"/>
        <v>62100</v>
      </c>
      <c r="I5" s="2">
        <f t="shared" si="0"/>
        <v>62100</v>
      </c>
    </row>
    <row r="6" spans="1:15" x14ac:dyDescent="0.45">
      <c r="A6" s="82"/>
      <c r="B6" s="27" t="s">
        <v>11</v>
      </c>
      <c r="C6" s="49">
        <v>17500</v>
      </c>
      <c r="D6" s="49">
        <v>15500</v>
      </c>
      <c r="E6" s="49">
        <v>13500</v>
      </c>
      <c r="F6" s="49">
        <v>11500</v>
      </c>
      <c r="G6" s="49">
        <v>9500</v>
      </c>
      <c r="H6" s="49">
        <v>8500</v>
      </c>
      <c r="I6" s="49">
        <v>7500</v>
      </c>
    </row>
    <row r="7" spans="1:15" x14ac:dyDescent="0.45">
      <c r="A7" s="82"/>
      <c r="B7" s="58" t="s">
        <v>44</v>
      </c>
      <c r="C7" s="59">
        <v>7500</v>
      </c>
      <c r="D7" s="59">
        <f>C7</f>
        <v>7500</v>
      </c>
      <c r="E7" s="59">
        <f t="shared" ref="E7:I7" si="1">D7</f>
        <v>7500</v>
      </c>
      <c r="F7" s="59">
        <f t="shared" si="1"/>
        <v>7500</v>
      </c>
      <c r="G7" s="59">
        <f t="shared" si="1"/>
        <v>7500</v>
      </c>
      <c r="H7" s="59">
        <f t="shared" si="1"/>
        <v>7500</v>
      </c>
      <c r="I7" s="59">
        <f t="shared" si="1"/>
        <v>7500</v>
      </c>
    </row>
    <row r="8" spans="1:15" x14ac:dyDescent="0.45">
      <c r="A8" s="82"/>
      <c r="B8" s="58" t="s">
        <v>47</v>
      </c>
      <c r="C8" s="59">
        <f>(((C5-C6)*0.95)*2)-C7*2</f>
        <v>69740</v>
      </c>
      <c r="D8" s="59">
        <f t="shared" ref="D8:I8" si="2">(((D5-D6)*0.95)*2)-D7*2</f>
        <v>73540</v>
      </c>
      <c r="E8" s="59">
        <f t="shared" si="2"/>
        <v>77340</v>
      </c>
      <c r="F8" s="59">
        <f t="shared" si="2"/>
        <v>81140</v>
      </c>
      <c r="G8" s="59">
        <f t="shared" si="2"/>
        <v>84940</v>
      </c>
      <c r="H8" s="59">
        <f t="shared" si="2"/>
        <v>86840</v>
      </c>
      <c r="I8" s="59">
        <f t="shared" si="2"/>
        <v>88740</v>
      </c>
      <c r="J8" s="19"/>
      <c r="K8" s="19"/>
      <c r="L8" s="19"/>
      <c r="M8" s="19"/>
      <c r="N8" s="19"/>
      <c r="O8" s="19"/>
    </row>
    <row r="9" spans="1:15" x14ac:dyDescent="0.45">
      <c r="A9" s="82"/>
      <c r="B9" s="58" t="s">
        <v>48</v>
      </c>
      <c r="C9" s="59">
        <f>(C5-C6)-C7</f>
        <v>37100</v>
      </c>
      <c r="D9" s="59">
        <f t="shared" ref="D9:I9" si="3">(D5-D6)-D7</f>
        <v>39100</v>
      </c>
      <c r="E9" s="59">
        <f t="shared" si="3"/>
        <v>41100</v>
      </c>
      <c r="F9" s="59">
        <f t="shared" si="3"/>
        <v>43100</v>
      </c>
      <c r="G9" s="59">
        <f t="shared" si="3"/>
        <v>45100</v>
      </c>
      <c r="H9" s="59">
        <f t="shared" si="3"/>
        <v>46100</v>
      </c>
      <c r="I9" s="59">
        <f t="shared" si="3"/>
        <v>47100</v>
      </c>
    </row>
    <row r="10" spans="1:15" ht="16" customHeight="1" x14ac:dyDescent="0.45">
      <c r="A10" s="81" t="s">
        <v>39</v>
      </c>
      <c r="B10" s="27" t="s">
        <v>12</v>
      </c>
      <c r="C10" s="2">
        <v>63550</v>
      </c>
      <c r="D10" s="2">
        <f t="shared" ref="D10:I10" si="4">C10</f>
        <v>63550</v>
      </c>
      <c r="E10" s="2">
        <f t="shared" si="4"/>
        <v>63550</v>
      </c>
      <c r="F10" s="2">
        <f t="shared" si="4"/>
        <v>63550</v>
      </c>
      <c r="G10" s="2">
        <f t="shared" si="4"/>
        <v>63550</v>
      </c>
      <c r="H10" s="2">
        <f t="shared" si="4"/>
        <v>63550</v>
      </c>
      <c r="I10" s="2">
        <f t="shared" si="4"/>
        <v>63550</v>
      </c>
    </row>
    <row r="11" spans="1:15" x14ac:dyDescent="0.45">
      <c r="A11" s="82"/>
      <c r="B11" s="27" t="s">
        <v>11</v>
      </c>
      <c r="C11" s="2">
        <f t="shared" ref="C11:I11" si="5">C6</f>
        <v>17500</v>
      </c>
      <c r="D11" s="2">
        <f t="shared" si="5"/>
        <v>15500</v>
      </c>
      <c r="E11" s="2">
        <f t="shared" si="5"/>
        <v>13500</v>
      </c>
      <c r="F11" s="2">
        <f t="shared" si="5"/>
        <v>11500</v>
      </c>
      <c r="G11" s="2">
        <f t="shared" si="5"/>
        <v>9500</v>
      </c>
      <c r="H11" s="2">
        <f t="shared" si="5"/>
        <v>8500</v>
      </c>
      <c r="I11" s="2">
        <f t="shared" si="5"/>
        <v>7500</v>
      </c>
    </row>
    <row r="12" spans="1:15" x14ac:dyDescent="0.45">
      <c r="A12" s="82"/>
      <c r="B12" s="60" t="s">
        <v>44</v>
      </c>
      <c r="C12" s="61">
        <f>C7</f>
        <v>7500</v>
      </c>
      <c r="D12" s="61">
        <f>C12</f>
        <v>7500</v>
      </c>
      <c r="E12" s="61">
        <f t="shared" ref="E12:I12" si="6">D12</f>
        <v>7500</v>
      </c>
      <c r="F12" s="61">
        <f t="shared" si="6"/>
        <v>7500</v>
      </c>
      <c r="G12" s="61">
        <f t="shared" si="6"/>
        <v>7500</v>
      </c>
      <c r="H12" s="61">
        <f t="shared" si="6"/>
        <v>7500</v>
      </c>
      <c r="I12" s="61">
        <f t="shared" si="6"/>
        <v>7500</v>
      </c>
    </row>
    <row r="13" spans="1:15" x14ac:dyDescent="0.45">
      <c r="A13" s="82"/>
      <c r="B13" s="60" t="s">
        <v>47</v>
      </c>
      <c r="C13" s="61">
        <f>(((C10-C11)*0.95)*2)-C12*2</f>
        <v>72495</v>
      </c>
      <c r="D13" s="61">
        <f t="shared" ref="D13:I13" si="7">(((D10-D11)*0.95)*2)-D12*2</f>
        <v>76295</v>
      </c>
      <c r="E13" s="61">
        <f t="shared" si="7"/>
        <v>80095</v>
      </c>
      <c r="F13" s="61">
        <f t="shared" si="7"/>
        <v>83895</v>
      </c>
      <c r="G13" s="61">
        <f t="shared" si="7"/>
        <v>87695</v>
      </c>
      <c r="H13" s="61">
        <f t="shared" si="7"/>
        <v>89595</v>
      </c>
      <c r="I13" s="61">
        <f t="shared" si="7"/>
        <v>91495</v>
      </c>
    </row>
    <row r="14" spans="1:15" x14ac:dyDescent="0.45">
      <c r="A14" s="82"/>
      <c r="B14" s="60" t="s">
        <v>48</v>
      </c>
      <c r="C14" s="61">
        <f>(C10-C11)-C12</f>
        <v>38550</v>
      </c>
      <c r="D14" s="61">
        <f t="shared" ref="D14:I14" si="8">(D10-D11)-D12</f>
        <v>40550</v>
      </c>
      <c r="E14" s="61">
        <f t="shared" si="8"/>
        <v>42550</v>
      </c>
      <c r="F14" s="61">
        <f t="shared" si="8"/>
        <v>44550</v>
      </c>
      <c r="G14" s="61">
        <f t="shared" si="8"/>
        <v>46550</v>
      </c>
      <c r="H14" s="61">
        <f t="shared" si="8"/>
        <v>47550</v>
      </c>
      <c r="I14" s="61">
        <f t="shared" si="8"/>
        <v>48550</v>
      </c>
    </row>
    <row r="15" spans="1:15" x14ac:dyDescent="0.45">
      <c r="A15" s="81" t="s">
        <v>40</v>
      </c>
      <c r="B15" s="27" t="s">
        <v>12</v>
      </c>
      <c r="C15" s="2">
        <f>C10*1.05</f>
        <v>66727.5</v>
      </c>
      <c r="D15" s="2">
        <f t="shared" ref="D15:I15" si="9">C15</f>
        <v>66727.5</v>
      </c>
      <c r="E15" s="2">
        <f t="shared" si="9"/>
        <v>66727.5</v>
      </c>
      <c r="F15" s="2">
        <f t="shared" si="9"/>
        <v>66727.5</v>
      </c>
      <c r="G15" s="2">
        <f t="shared" si="9"/>
        <v>66727.5</v>
      </c>
      <c r="H15" s="2">
        <f t="shared" si="9"/>
        <v>66727.5</v>
      </c>
      <c r="I15" s="2">
        <f t="shared" si="9"/>
        <v>66727.5</v>
      </c>
    </row>
    <row r="16" spans="1:15" x14ac:dyDescent="0.45">
      <c r="A16" s="82"/>
      <c r="B16" s="27" t="s">
        <v>11</v>
      </c>
      <c r="C16" s="2">
        <f t="shared" ref="C16:I16" si="10">C11</f>
        <v>17500</v>
      </c>
      <c r="D16" s="2">
        <f t="shared" si="10"/>
        <v>15500</v>
      </c>
      <c r="E16" s="2">
        <f t="shared" si="10"/>
        <v>13500</v>
      </c>
      <c r="F16" s="2">
        <f t="shared" si="10"/>
        <v>11500</v>
      </c>
      <c r="G16" s="2">
        <f t="shared" si="10"/>
        <v>9500</v>
      </c>
      <c r="H16" s="2">
        <f t="shared" si="10"/>
        <v>8500</v>
      </c>
      <c r="I16" s="2">
        <f t="shared" si="10"/>
        <v>7500</v>
      </c>
    </row>
    <row r="17" spans="1:9" x14ac:dyDescent="0.45">
      <c r="A17" s="82"/>
      <c r="B17" s="62" t="s">
        <v>44</v>
      </c>
      <c r="C17" s="63">
        <f>C12</f>
        <v>7500</v>
      </c>
      <c r="D17" s="63">
        <f>C17</f>
        <v>7500</v>
      </c>
      <c r="E17" s="63">
        <f t="shared" ref="E17:I17" si="11">D17</f>
        <v>7500</v>
      </c>
      <c r="F17" s="63">
        <f t="shared" si="11"/>
        <v>7500</v>
      </c>
      <c r="G17" s="63">
        <f t="shared" si="11"/>
        <v>7500</v>
      </c>
      <c r="H17" s="63">
        <f t="shared" si="11"/>
        <v>7500</v>
      </c>
      <c r="I17" s="63">
        <f t="shared" si="11"/>
        <v>7500</v>
      </c>
    </row>
    <row r="18" spans="1:9" x14ac:dyDescent="0.45">
      <c r="A18" s="82"/>
      <c r="B18" s="62" t="s">
        <v>47</v>
      </c>
      <c r="C18" s="63">
        <f>(((C15-C16)*0.95)*2)-C17*2</f>
        <v>78532.25</v>
      </c>
      <c r="D18" s="63">
        <f t="shared" ref="D18:I18" si="12">(((D15-D16)*0.95)*2)-D17*2</f>
        <v>82332.25</v>
      </c>
      <c r="E18" s="63">
        <f t="shared" si="12"/>
        <v>86132.25</v>
      </c>
      <c r="F18" s="63">
        <f t="shared" si="12"/>
        <v>89932.25</v>
      </c>
      <c r="G18" s="63">
        <f t="shared" si="12"/>
        <v>93732.25</v>
      </c>
      <c r="H18" s="63">
        <f t="shared" si="12"/>
        <v>95632.25</v>
      </c>
      <c r="I18" s="63">
        <f t="shared" si="12"/>
        <v>97532.25</v>
      </c>
    </row>
    <row r="19" spans="1:9" x14ac:dyDescent="0.45">
      <c r="A19" s="82"/>
      <c r="B19" s="62" t="s">
        <v>48</v>
      </c>
      <c r="C19" s="63">
        <f>(C15-C16)-C17</f>
        <v>41727.5</v>
      </c>
      <c r="D19" s="63">
        <f t="shared" ref="D19:I19" si="13">(D15-D16)-D17</f>
        <v>43727.5</v>
      </c>
      <c r="E19" s="63">
        <f t="shared" si="13"/>
        <v>45727.5</v>
      </c>
      <c r="F19" s="63">
        <f t="shared" si="13"/>
        <v>47727.5</v>
      </c>
      <c r="G19" s="63">
        <f t="shared" si="13"/>
        <v>49727.5</v>
      </c>
      <c r="H19" s="63">
        <f t="shared" si="13"/>
        <v>50727.5</v>
      </c>
      <c r="I19" s="63">
        <f t="shared" si="13"/>
        <v>51727.5</v>
      </c>
    </row>
    <row r="20" spans="1:9" x14ac:dyDescent="0.45">
      <c r="A20" s="83" t="s">
        <v>13</v>
      </c>
      <c r="B20" s="83"/>
      <c r="C20" s="63">
        <f t="shared" ref="C20:I20" si="14">SUM(C8,C13,C18)</f>
        <v>220767.25</v>
      </c>
      <c r="D20" s="63">
        <f t="shared" si="14"/>
        <v>232167.25</v>
      </c>
      <c r="E20" s="63">
        <f t="shared" si="14"/>
        <v>243567.25</v>
      </c>
      <c r="F20" s="63">
        <f t="shared" si="14"/>
        <v>254967.25</v>
      </c>
      <c r="G20" s="63">
        <f t="shared" si="14"/>
        <v>266367.25</v>
      </c>
      <c r="H20" s="63">
        <f t="shared" si="14"/>
        <v>272067.25</v>
      </c>
      <c r="I20" s="63">
        <f t="shared" si="14"/>
        <v>277767.25</v>
      </c>
    </row>
    <row r="21" spans="1:9" x14ac:dyDescent="0.45">
      <c r="A21" s="71" t="s">
        <v>14</v>
      </c>
      <c r="B21" s="71"/>
      <c r="C21" s="71"/>
      <c r="D21" s="71"/>
      <c r="E21" s="71"/>
      <c r="F21" s="71"/>
      <c r="G21" s="71"/>
      <c r="H21" s="71"/>
      <c r="I21" s="71"/>
    </row>
    <row r="22" spans="1:9" ht="28" customHeight="1" x14ac:dyDescent="0.45">
      <c r="A22" s="81" t="s">
        <v>38</v>
      </c>
      <c r="B22" s="15" t="s">
        <v>15</v>
      </c>
      <c r="C22" s="2">
        <f>C5*0.75</f>
        <v>46575</v>
      </c>
      <c r="D22" s="2">
        <f t="shared" ref="D22:I22" si="15">C22</f>
        <v>46575</v>
      </c>
      <c r="E22" s="2">
        <f t="shared" si="15"/>
        <v>46575</v>
      </c>
      <c r="F22" s="2">
        <f t="shared" si="15"/>
        <v>46575</v>
      </c>
      <c r="G22" s="2">
        <f t="shared" si="15"/>
        <v>46575</v>
      </c>
      <c r="H22" s="2">
        <f t="shared" si="15"/>
        <v>46575</v>
      </c>
      <c r="I22" s="2">
        <f t="shared" si="15"/>
        <v>46575</v>
      </c>
    </row>
    <row r="23" spans="1:9" x14ac:dyDescent="0.45">
      <c r="A23" s="82"/>
      <c r="B23" s="15" t="s">
        <v>11</v>
      </c>
      <c r="C23" s="49">
        <v>17500</v>
      </c>
      <c r="D23" s="49">
        <v>15500</v>
      </c>
      <c r="E23" s="49">
        <v>13500</v>
      </c>
      <c r="F23" s="49">
        <v>11500</v>
      </c>
      <c r="G23" s="49">
        <v>9500</v>
      </c>
      <c r="H23" s="49">
        <v>8500</v>
      </c>
      <c r="I23" s="49">
        <v>7500</v>
      </c>
    </row>
    <row r="24" spans="1:9" x14ac:dyDescent="0.45">
      <c r="A24" s="82"/>
      <c r="B24" s="58" t="s">
        <v>47</v>
      </c>
      <c r="C24" s="59">
        <f>((C22-C23)*0.95)*2</f>
        <v>55242.5</v>
      </c>
      <c r="D24" s="59">
        <f t="shared" ref="D24:I24" si="16">((D22-D23)*0.95)*2</f>
        <v>59042.5</v>
      </c>
      <c r="E24" s="59">
        <f t="shared" si="16"/>
        <v>62842.5</v>
      </c>
      <c r="F24" s="59">
        <f t="shared" si="16"/>
        <v>66642.5</v>
      </c>
      <c r="G24" s="59">
        <f t="shared" si="16"/>
        <v>70442.5</v>
      </c>
      <c r="H24" s="59">
        <f t="shared" si="16"/>
        <v>72342.5</v>
      </c>
      <c r="I24" s="59">
        <f t="shared" si="16"/>
        <v>74242.5</v>
      </c>
    </row>
    <row r="25" spans="1:9" x14ac:dyDescent="0.45">
      <c r="A25" s="82"/>
      <c r="B25" s="33" t="s">
        <v>48</v>
      </c>
      <c r="C25" s="59">
        <f>(C22-C23)</f>
        <v>29075</v>
      </c>
      <c r="D25" s="59">
        <f t="shared" ref="D25:I25" si="17">(D22-D23)</f>
        <v>31075</v>
      </c>
      <c r="E25" s="59">
        <f t="shared" si="17"/>
        <v>33075</v>
      </c>
      <c r="F25" s="59">
        <f t="shared" si="17"/>
        <v>35075</v>
      </c>
      <c r="G25" s="59">
        <f t="shared" si="17"/>
        <v>37075</v>
      </c>
      <c r="H25" s="59">
        <f t="shared" si="17"/>
        <v>38075</v>
      </c>
      <c r="I25" s="59">
        <f t="shared" si="17"/>
        <v>39075</v>
      </c>
    </row>
    <row r="26" spans="1:9" ht="24" customHeight="1" x14ac:dyDescent="0.45">
      <c r="A26" s="81" t="s">
        <v>39</v>
      </c>
      <c r="B26" s="15" t="s">
        <v>15</v>
      </c>
      <c r="C26" s="2">
        <f>C10*0.75</f>
        <v>47662.5</v>
      </c>
      <c r="D26" s="2">
        <f t="shared" ref="D26:I26" si="18">C26</f>
        <v>47662.5</v>
      </c>
      <c r="E26" s="2">
        <f t="shared" si="18"/>
        <v>47662.5</v>
      </c>
      <c r="F26" s="2">
        <f t="shared" si="18"/>
        <v>47662.5</v>
      </c>
      <c r="G26" s="2">
        <f t="shared" si="18"/>
        <v>47662.5</v>
      </c>
      <c r="H26" s="2">
        <f t="shared" si="18"/>
        <v>47662.5</v>
      </c>
      <c r="I26" s="2">
        <f t="shared" si="18"/>
        <v>47662.5</v>
      </c>
    </row>
    <row r="27" spans="1:9" x14ac:dyDescent="0.45">
      <c r="A27" s="82"/>
      <c r="B27" s="15" t="s">
        <v>11</v>
      </c>
      <c r="C27" s="2">
        <f t="shared" ref="C27:I27" si="19">C23</f>
        <v>17500</v>
      </c>
      <c r="D27" s="2">
        <f t="shared" si="19"/>
        <v>15500</v>
      </c>
      <c r="E27" s="2">
        <f t="shared" si="19"/>
        <v>13500</v>
      </c>
      <c r="F27" s="2">
        <f t="shared" si="19"/>
        <v>11500</v>
      </c>
      <c r="G27" s="2">
        <f t="shared" si="19"/>
        <v>9500</v>
      </c>
      <c r="H27" s="2">
        <f t="shared" si="19"/>
        <v>8500</v>
      </c>
      <c r="I27" s="2">
        <f t="shared" si="19"/>
        <v>7500</v>
      </c>
    </row>
    <row r="28" spans="1:9" x14ac:dyDescent="0.45">
      <c r="A28" s="82"/>
      <c r="B28" s="60" t="s">
        <v>47</v>
      </c>
      <c r="C28" s="61">
        <f>((C26-C27)*0.95)*2</f>
        <v>57308.75</v>
      </c>
      <c r="D28" s="61">
        <f t="shared" ref="D28:I28" si="20">((D26-D27)*0.95)*2</f>
        <v>61108.75</v>
      </c>
      <c r="E28" s="61">
        <f t="shared" si="20"/>
        <v>64908.75</v>
      </c>
      <c r="F28" s="61">
        <f t="shared" si="20"/>
        <v>68708.75</v>
      </c>
      <c r="G28" s="61">
        <f t="shared" si="20"/>
        <v>72508.75</v>
      </c>
      <c r="H28" s="61">
        <f t="shared" si="20"/>
        <v>74408.75</v>
      </c>
      <c r="I28" s="61">
        <f t="shared" si="20"/>
        <v>76308.75</v>
      </c>
    </row>
    <row r="29" spans="1:9" x14ac:dyDescent="0.45">
      <c r="A29" s="82"/>
      <c r="B29" s="31" t="s">
        <v>48</v>
      </c>
      <c r="C29" s="61">
        <f>(C26-C27)</f>
        <v>30162.5</v>
      </c>
      <c r="D29" s="61">
        <f t="shared" ref="D29:I29" si="21">(D26-D27)</f>
        <v>32162.5</v>
      </c>
      <c r="E29" s="61">
        <f t="shared" si="21"/>
        <v>34162.5</v>
      </c>
      <c r="F29" s="61">
        <f t="shared" si="21"/>
        <v>36162.5</v>
      </c>
      <c r="G29" s="61">
        <f t="shared" si="21"/>
        <v>38162.5</v>
      </c>
      <c r="H29" s="61">
        <f t="shared" si="21"/>
        <v>39162.5</v>
      </c>
      <c r="I29" s="61">
        <f t="shared" si="21"/>
        <v>40162.5</v>
      </c>
    </row>
    <row r="30" spans="1:9" x14ac:dyDescent="0.45">
      <c r="A30" s="81" t="s">
        <v>40</v>
      </c>
      <c r="B30" s="15" t="s">
        <v>15</v>
      </c>
      <c r="C30" s="2">
        <f>C26*1.05</f>
        <v>50045.625</v>
      </c>
      <c r="D30" s="2">
        <f t="shared" ref="D30:I30" si="22">C30</f>
        <v>50045.625</v>
      </c>
      <c r="E30" s="2">
        <f t="shared" si="22"/>
        <v>50045.625</v>
      </c>
      <c r="F30" s="2">
        <f t="shared" si="22"/>
        <v>50045.625</v>
      </c>
      <c r="G30" s="2">
        <f t="shared" si="22"/>
        <v>50045.625</v>
      </c>
      <c r="H30" s="2">
        <f t="shared" si="22"/>
        <v>50045.625</v>
      </c>
      <c r="I30" s="2">
        <f t="shared" si="22"/>
        <v>50045.625</v>
      </c>
    </row>
    <row r="31" spans="1:9" x14ac:dyDescent="0.45">
      <c r="A31" s="82"/>
      <c r="B31" s="15" t="s">
        <v>11</v>
      </c>
      <c r="C31" s="2">
        <f t="shared" ref="C31:I31" si="23">C27</f>
        <v>17500</v>
      </c>
      <c r="D31" s="2">
        <f t="shared" si="23"/>
        <v>15500</v>
      </c>
      <c r="E31" s="2">
        <f t="shared" si="23"/>
        <v>13500</v>
      </c>
      <c r="F31" s="2">
        <f t="shared" si="23"/>
        <v>11500</v>
      </c>
      <c r="G31" s="2">
        <f t="shared" si="23"/>
        <v>9500</v>
      </c>
      <c r="H31" s="2">
        <f t="shared" si="23"/>
        <v>8500</v>
      </c>
      <c r="I31" s="2">
        <f t="shared" si="23"/>
        <v>7500</v>
      </c>
    </row>
    <row r="32" spans="1:9" x14ac:dyDescent="0.45">
      <c r="A32" s="82"/>
      <c r="B32" s="62" t="s">
        <v>47</v>
      </c>
      <c r="C32" s="63">
        <f>((C30-C31)*0.95)*2</f>
        <v>61836.6875</v>
      </c>
      <c r="D32" s="63">
        <f t="shared" ref="D32:I32" si="24">((D30-D31)*0.95)*2</f>
        <v>65636.6875</v>
      </c>
      <c r="E32" s="63">
        <f t="shared" si="24"/>
        <v>69436.6875</v>
      </c>
      <c r="F32" s="63">
        <f t="shared" si="24"/>
        <v>73236.6875</v>
      </c>
      <c r="G32" s="63">
        <f t="shared" si="24"/>
        <v>77036.6875</v>
      </c>
      <c r="H32" s="63">
        <f t="shared" si="24"/>
        <v>78936.6875</v>
      </c>
      <c r="I32" s="63">
        <f t="shared" si="24"/>
        <v>80836.6875</v>
      </c>
    </row>
    <row r="33" spans="1:9" x14ac:dyDescent="0.45">
      <c r="A33" s="82"/>
      <c r="B33" s="32" t="s">
        <v>48</v>
      </c>
      <c r="C33" s="63">
        <f>(C30-C31)</f>
        <v>32545.625</v>
      </c>
      <c r="D33" s="63">
        <f t="shared" ref="D33:I33" si="25">(D30-D31)</f>
        <v>34545.625</v>
      </c>
      <c r="E33" s="63">
        <f t="shared" si="25"/>
        <v>36545.625</v>
      </c>
      <c r="F33" s="63">
        <f t="shared" si="25"/>
        <v>38545.625</v>
      </c>
      <c r="G33" s="63">
        <f t="shared" si="25"/>
        <v>40545.625</v>
      </c>
      <c r="H33" s="63">
        <f t="shared" si="25"/>
        <v>41545.625</v>
      </c>
      <c r="I33" s="63">
        <f t="shared" si="25"/>
        <v>42545.625</v>
      </c>
    </row>
    <row r="34" spans="1:9" x14ac:dyDescent="0.45">
      <c r="A34" s="83" t="s">
        <v>13</v>
      </c>
      <c r="B34" s="83"/>
      <c r="C34" s="63">
        <f t="shared" ref="C34:I34" si="26">SUM(C24,C28,C32)</f>
        <v>174387.9375</v>
      </c>
      <c r="D34" s="63">
        <f t="shared" si="26"/>
        <v>185787.9375</v>
      </c>
      <c r="E34" s="63">
        <f t="shared" si="26"/>
        <v>197187.9375</v>
      </c>
      <c r="F34" s="63">
        <f t="shared" si="26"/>
        <v>208587.9375</v>
      </c>
      <c r="G34" s="63">
        <f t="shared" si="26"/>
        <v>219987.9375</v>
      </c>
      <c r="H34" s="63">
        <f t="shared" si="26"/>
        <v>225687.9375</v>
      </c>
      <c r="I34" s="63">
        <f t="shared" si="26"/>
        <v>231387.9375</v>
      </c>
    </row>
    <row r="35" spans="1:9" ht="16" customHeight="1" x14ac:dyDescent="0.45">
      <c r="A35" s="84" t="s">
        <v>16</v>
      </c>
      <c r="B35" s="84"/>
      <c r="C35" s="84"/>
      <c r="D35" s="84"/>
      <c r="E35" s="84"/>
      <c r="F35" s="84"/>
      <c r="G35" s="84"/>
      <c r="H35" s="84"/>
      <c r="I35" s="84"/>
    </row>
    <row r="36" spans="1:9" ht="4" customHeight="1" x14ac:dyDescent="0.45">
      <c r="A36" s="84"/>
      <c r="B36" s="84"/>
      <c r="C36" s="84"/>
      <c r="D36" s="84"/>
      <c r="E36" s="84"/>
      <c r="F36" s="84"/>
      <c r="G36" s="84"/>
      <c r="H36" s="84"/>
      <c r="I36" s="84"/>
    </row>
    <row r="37" spans="1:9" ht="2.15" customHeight="1" x14ac:dyDescent="0.45">
      <c r="A37" s="84"/>
      <c r="B37" s="84"/>
      <c r="C37" s="84"/>
      <c r="D37" s="84"/>
      <c r="E37" s="84"/>
      <c r="F37" s="84"/>
      <c r="G37" s="84"/>
      <c r="H37" s="84"/>
      <c r="I37" s="84"/>
    </row>
    <row r="38" spans="1:9" x14ac:dyDescent="0.45">
      <c r="A38" s="64" t="s">
        <v>17</v>
      </c>
      <c r="B38" s="64"/>
      <c r="C38" s="86" t="s">
        <v>18</v>
      </c>
      <c r="D38" s="86"/>
      <c r="E38" s="7">
        <v>5000</v>
      </c>
      <c r="F38" s="57"/>
      <c r="G38" s="65"/>
      <c r="H38" s="56"/>
      <c r="I38" s="56"/>
    </row>
    <row r="39" spans="1:9" x14ac:dyDescent="0.45">
      <c r="A39" s="64"/>
      <c r="B39" s="64"/>
      <c r="C39" s="86" t="s">
        <v>19</v>
      </c>
      <c r="D39" s="86"/>
      <c r="E39" s="7">
        <v>3000</v>
      </c>
      <c r="F39" s="57"/>
      <c r="G39" s="65"/>
      <c r="H39" s="56"/>
      <c r="I39" s="56"/>
    </row>
    <row r="40" spans="1:9" x14ac:dyDescent="0.45">
      <c r="A40" s="64"/>
      <c r="B40" s="64"/>
      <c r="C40" s="87" t="s">
        <v>20</v>
      </c>
      <c r="D40" s="87"/>
      <c r="E40" s="7">
        <v>3000</v>
      </c>
      <c r="F40" s="66"/>
      <c r="G40" s="67"/>
      <c r="H40" s="56"/>
      <c r="I40" s="56"/>
    </row>
    <row r="41" spans="1:9" ht="23.15" x14ac:dyDescent="0.45">
      <c r="A41" s="20" t="s">
        <v>21</v>
      </c>
      <c r="B41" s="20" t="s">
        <v>22</v>
      </c>
      <c r="C41" s="21" t="s">
        <v>23</v>
      </c>
      <c r="D41" s="21" t="s">
        <v>24</v>
      </c>
      <c r="E41" s="21" t="s">
        <v>25</v>
      </c>
      <c r="F41" s="21" t="s">
        <v>26</v>
      </c>
      <c r="G41" s="20" t="s">
        <v>27</v>
      </c>
      <c r="H41" s="20" t="s">
        <v>28</v>
      </c>
      <c r="I41" s="20" t="s">
        <v>29</v>
      </c>
    </row>
    <row r="42" spans="1:9" x14ac:dyDescent="0.45">
      <c r="A42" s="16" t="s">
        <v>30</v>
      </c>
      <c r="B42" s="7">
        <f>B43*2</f>
        <v>7000</v>
      </c>
      <c r="C42" s="7">
        <f t="shared" ref="C42:H42" si="27">C43*2</f>
        <v>5000</v>
      </c>
      <c r="D42" s="7">
        <v>1000</v>
      </c>
      <c r="E42" s="7">
        <f t="shared" si="27"/>
        <v>1500</v>
      </c>
      <c r="F42" s="7">
        <f t="shared" si="27"/>
        <v>1000</v>
      </c>
      <c r="G42" s="7">
        <f t="shared" si="27"/>
        <v>1000</v>
      </c>
      <c r="H42" s="7">
        <f t="shared" si="27"/>
        <v>2000</v>
      </c>
      <c r="I42" s="7">
        <f>SUM(B42:H42)</f>
        <v>18500</v>
      </c>
    </row>
    <row r="43" spans="1:9" x14ac:dyDescent="0.45">
      <c r="A43" s="16" t="s">
        <v>31</v>
      </c>
      <c r="B43" s="7">
        <v>3500</v>
      </c>
      <c r="C43" s="7">
        <v>2500</v>
      </c>
      <c r="D43" s="22">
        <v>1000</v>
      </c>
      <c r="E43" s="22">
        <v>750</v>
      </c>
      <c r="F43" s="22">
        <v>500</v>
      </c>
      <c r="G43" s="7">
        <v>500</v>
      </c>
      <c r="H43" s="7">
        <v>1000</v>
      </c>
      <c r="I43" s="7">
        <f>SUM(B43:H43)</f>
        <v>9750</v>
      </c>
    </row>
    <row r="44" spans="1:9" ht="16" customHeight="1" x14ac:dyDescent="0.45">
      <c r="A44" s="91" t="s">
        <v>71</v>
      </c>
      <c r="B44" s="91"/>
      <c r="C44" s="91"/>
      <c r="D44" s="91"/>
      <c r="E44" s="91"/>
      <c r="F44" s="91"/>
      <c r="G44" s="91"/>
      <c r="H44" s="91"/>
      <c r="I44" s="91"/>
    </row>
    <row r="45" spans="1:9" ht="16" customHeight="1" x14ac:dyDescent="0.45">
      <c r="A45" s="91" t="s">
        <v>45</v>
      </c>
      <c r="B45" s="91"/>
      <c r="C45" s="91"/>
      <c r="D45" s="91"/>
      <c r="E45" s="91"/>
      <c r="F45" s="91"/>
      <c r="G45" s="91"/>
      <c r="H45" s="91"/>
      <c r="I45" s="91"/>
    </row>
    <row r="46" spans="1:9" ht="30.65" customHeight="1" x14ac:dyDescent="0.45">
      <c r="A46" s="91" t="s">
        <v>46</v>
      </c>
      <c r="B46" s="91"/>
      <c r="C46" s="91"/>
      <c r="D46" s="91"/>
      <c r="E46" s="91"/>
      <c r="F46" s="91"/>
      <c r="G46" s="91"/>
      <c r="H46" s="91"/>
      <c r="I46" s="91"/>
    </row>
    <row r="47" spans="1:9" ht="44.15" customHeight="1" x14ac:dyDescent="0.45">
      <c r="A47" s="92" t="s">
        <v>43</v>
      </c>
      <c r="B47" s="92"/>
      <c r="C47" s="92"/>
      <c r="D47" s="92"/>
      <c r="E47" s="92"/>
      <c r="F47" s="92"/>
      <c r="G47" s="92"/>
      <c r="H47" s="92"/>
      <c r="I47" s="92"/>
    </row>
    <row r="48" spans="1:9" ht="14.5" customHeight="1" x14ac:dyDescent="0.45">
      <c r="A48" s="91" t="s">
        <v>32</v>
      </c>
      <c r="B48" s="91"/>
      <c r="C48" s="91"/>
      <c r="D48" s="91"/>
      <c r="E48" s="91"/>
      <c r="F48" s="91"/>
      <c r="G48" s="91"/>
      <c r="H48" s="91"/>
      <c r="I48" s="91"/>
    </row>
    <row r="49" spans="1:9" x14ac:dyDescent="0.45">
      <c r="A49" s="96" t="s">
        <v>85</v>
      </c>
      <c r="B49" s="96"/>
      <c r="C49" s="96"/>
      <c r="D49" s="96"/>
      <c r="E49" s="96"/>
      <c r="F49" s="96"/>
      <c r="G49" s="96"/>
      <c r="H49" s="96"/>
      <c r="I49" s="96"/>
    </row>
    <row r="50" spans="1:9" x14ac:dyDescent="0.45">
      <c r="A50" s="145" t="s">
        <v>74</v>
      </c>
      <c r="B50" s="145"/>
      <c r="C50" s="145"/>
      <c r="D50" s="145"/>
      <c r="E50" s="145"/>
      <c r="F50" s="145"/>
      <c r="G50" s="145"/>
      <c r="H50" s="145"/>
      <c r="I50" s="145"/>
    </row>
    <row r="51" spans="1:9" x14ac:dyDescent="0.45">
      <c r="A51" s="73" t="s">
        <v>9</v>
      </c>
      <c r="B51" s="74"/>
      <c r="C51" s="74"/>
      <c r="D51" s="74"/>
      <c r="E51" s="74"/>
      <c r="F51" s="74"/>
      <c r="G51" s="74"/>
      <c r="H51" s="74"/>
      <c r="I51" s="74"/>
    </row>
  </sheetData>
  <mergeCells count="24">
    <mergeCell ref="A1:I1"/>
    <mergeCell ref="A2:I2"/>
    <mergeCell ref="C39:D39"/>
    <mergeCell ref="C40:D40"/>
    <mergeCell ref="A44:I44"/>
    <mergeCell ref="A22:A25"/>
    <mergeCell ref="A26:A29"/>
    <mergeCell ref="A30:A33"/>
    <mergeCell ref="A34:B34"/>
    <mergeCell ref="A35:I37"/>
    <mergeCell ref="A51:I51"/>
    <mergeCell ref="A4:I4"/>
    <mergeCell ref="C38:D38"/>
    <mergeCell ref="A5:A9"/>
    <mergeCell ref="A10:A14"/>
    <mergeCell ref="A15:A19"/>
    <mergeCell ref="A20:B20"/>
    <mergeCell ref="A21:I21"/>
    <mergeCell ref="A48:I48"/>
    <mergeCell ref="A49:I49"/>
    <mergeCell ref="A50:I50"/>
    <mergeCell ref="A45:I45"/>
    <mergeCell ref="A46:I46"/>
    <mergeCell ref="A47:I47"/>
  </mergeCells>
  <pageMargins left="0.7" right="0.7" top="0.75" bottom="0.75" header="0.3" footer="0.3"/>
  <pageSetup paperSize="9" scale="4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45"/>
  <sheetViews>
    <sheetView zoomScale="95" workbookViewId="0">
      <selection activeCell="A4" sqref="A4:XFD4"/>
    </sheetView>
  </sheetViews>
  <sheetFormatPr defaultColWidth="8.85546875" defaultRowHeight="15.9" x14ac:dyDescent="0.45"/>
  <cols>
    <col min="1" max="1" width="17.35546875" customWidth="1"/>
    <col min="2" max="2" width="23" bestFit="1" customWidth="1"/>
    <col min="3" max="3" width="34.640625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8" width="16.640625" customWidth="1"/>
  </cols>
  <sheetData>
    <row r="1" spans="1:11" x14ac:dyDescent="0.45">
      <c r="A1" s="75" t="s">
        <v>127</v>
      </c>
      <c r="B1" s="76"/>
      <c r="C1" s="76"/>
      <c r="D1" s="76"/>
      <c r="E1" s="76"/>
      <c r="F1" s="76"/>
      <c r="G1" s="76"/>
      <c r="H1" s="77"/>
    </row>
    <row r="2" spans="1:11" ht="35.25" customHeight="1" x14ac:dyDescent="0.45">
      <c r="A2" s="72" t="s">
        <v>128</v>
      </c>
      <c r="B2" s="71"/>
      <c r="C2" s="71"/>
      <c r="D2" s="71"/>
      <c r="E2" s="71"/>
      <c r="F2" s="71"/>
      <c r="G2" s="71"/>
      <c r="H2" s="71"/>
    </row>
    <row r="3" spans="1:11" ht="85.4" customHeight="1" x14ac:dyDescent="0.45">
      <c r="A3" s="43" t="s">
        <v>1</v>
      </c>
      <c r="B3" s="44" t="s">
        <v>2</v>
      </c>
      <c r="C3" s="43" t="s">
        <v>52</v>
      </c>
      <c r="D3" s="43" t="s">
        <v>53</v>
      </c>
      <c r="E3" s="43" t="s">
        <v>54</v>
      </c>
      <c r="F3" s="43" t="s">
        <v>55</v>
      </c>
      <c r="G3" s="43" t="s">
        <v>56</v>
      </c>
    </row>
    <row r="4" spans="1:11" x14ac:dyDescent="0.45">
      <c r="A4" s="78" t="s">
        <v>0</v>
      </c>
      <c r="B4" s="79"/>
      <c r="C4" s="79"/>
      <c r="D4" s="79"/>
      <c r="E4" s="79"/>
      <c r="F4" s="79"/>
      <c r="G4" s="79"/>
      <c r="H4" s="80"/>
    </row>
    <row r="5" spans="1:11" x14ac:dyDescent="0.45">
      <c r="A5" s="81" t="s">
        <v>38</v>
      </c>
      <c r="B5" s="15" t="s">
        <v>10</v>
      </c>
      <c r="C5" s="2">
        <v>75850</v>
      </c>
      <c r="D5" s="2">
        <f>C5</f>
        <v>75850</v>
      </c>
      <c r="E5" s="2">
        <f t="shared" ref="E5:G5" si="0">D5</f>
        <v>75850</v>
      </c>
      <c r="F5" s="2">
        <f t="shared" si="0"/>
        <v>75850</v>
      </c>
      <c r="G5" s="2">
        <f t="shared" si="0"/>
        <v>75850</v>
      </c>
      <c r="H5" s="19"/>
      <c r="I5" s="19"/>
      <c r="J5" s="19"/>
    </row>
    <row r="6" spans="1:11" x14ac:dyDescent="0.45">
      <c r="A6" s="82"/>
      <c r="B6" s="15" t="s">
        <v>11</v>
      </c>
      <c r="C6" s="38">
        <v>13000</v>
      </c>
      <c r="D6" s="38">
        <v>11000</v>
      </c>
      <c r="E6" s="38">
        <v>9000</v>
      </c>
      <c r="F6" s="38">
        <v>7000</v>
      </c>
      <c r="G6" s="38">
        <v>5000</v>
      </c>
    </row>
    <row r="7" spans="1:11" x14ac:dyDescent="0.45">
      <c r="A7" s="82"/>
      <c r="B7" s="60" t="s">
        <v>44</v>
      </c>
      <c r="C7" s="61">
        <v>15500</v>
      </c>
      <c r="D7" s="61">
        <f>C7</f>
        <v>15500</v>
      </c>
      <c r="E7" s="61">
        <f t="shared" ref="E7:G7" si="1">D7</f>
        <v>15500</v>
      </c>
      <c r="F7" s="61">
        <f t="shared" si="1"/>
        <v>15500</v>
      </c>
      <c r="G7" s="61">
        <f t="shared" si="1"/>
        <v>15500</v>
      </c>
    </row>
    <row r="8" spans="1:11" x14ac:dyDescent="0.45">
      <c r="A8" s="82"/>
      <c r="B8" s="31" t="s">
        <v>47</v>
      </c>
      <c r="C8" s="61">
        <f>(((C5-C6)*0.95)*2)-C7*2</f>
        <v>88415</v>
      </c>
      <c r="D8" s="61">
        <f t="shared" ref="D8:G8" si="2">(((D5-D6)*0.95)*2)-D7*2</f>
        <v>92215</v>
      </c>
      <c r="E8" s="61">
        <f t="shared" si="2"/>
        <v>96015</v>
      </c>
      <c r="F8" s="61">
        <f t="shared" si="2"/>
        <v>99815</v>
      </c>
      <c r="G8" s="61">
        <f t="shared" si="2"/>
        <v>103615</v>
      </c>
    </row>
    <row r="9" spans="1:11" x14ac:dyDescent="0.45">
      <c r="A9" s="82"/>
      <c r="B9" s="31" t="s">
        <v>48</v>
      </c>
      <c r="C9" s="61">
        <f>(C5-C6)-C7</f>
        <v>47350</v>
      </c>
      <c r="D9" s="61">
        <f t="shared" ref="D9:G9" si="3">(D5-D6)-D7</f>
        <v>49350</v>
      </c>
      <c r="E9" s="61">
        <f t="shared" si="3"/>
        <v>51350</v>
      </c>
      <c r="F9" s="61">
        <f t="shared" si="3"/>
        <v>53350</v>
      </c>
      <c r="G9" s="61">
        <f t="shared" si="3"/>
        <v>55350</v>
      </c>
      <c r="H9" s="19"/>
      <c r="I9" s="19"/>
      <c r="J9" s="19"/>
      <c r="K9" s="19"/>
    </row>
    <row r="10" spans="1:11" ht="16" customHeight="1" x14ac:dyDescent="0.45">
      <c r="A10" s="81" t="s">
        <v>39</v>
      </c>
      <c r="B10" s="15" t="s">
        <v>12</v>
      </c>
      <c r="C10" s="2">
        <v>78000</v>
      </c>
      <c r="D10" s="2">
        <f t="shared" ref="D10:G10" si="4">C10</f>
        <v>78000</v>
      </c>
      <c r="E10" s="2">
        <f t="shared" si="4"/>
        <v>78000</v>
      </c>
      <c r="F10" s="2">
        <f t="shared" si="4"/>
        <v>78000</v>
      </c>
      <c r="G10" s="2">
        <f t="shared" si="4"/>
        <v>78000</v>
      </c>
    </row>
    <row r="11" spans="1:11" x14ac:dyDescent="0.45">
      <c r="A11" s="82"/>
      <c r="B11" s="15" t="s">
        <v>11</v>
      </c>
      <c r="C11" s="2">
        <f t="shared" ref="C11:G11" si="5">C6</f>
        <v>13000</v>
      </c>
      <c r="D11" s="2">
        <f t="shared" si="5"/>
        <v>11000</v>
      </c>
      <c r="E11" s="2">
        <f t="shared" si="5"/>
        <v>9000</v>
      </c>
      <c r="F11" s="2">
        <f t="shared" si="5"/>
        <v>7000</v>
      </c>
      <c r="G11" s="2">
        <f t="shared" si="5"/>
        <v>5000</v>
      </c>
    </row>
    <row r="12" spans="1:11" x14ac:dyDescent="0.45">
      <c r="A12" s="82"/>
      <c r="B12" s="62" t="s">
        <v>44</v>
      </c>
      <c r="C12" s="63">
        <f>C7</f>
        <v>15500</v>
      </c>
      <c r="D12" s="63">
        <f>C12</f>
        <v>15500</v>
      </c>
      <c r="E12" s="63">
        <f t="shared" ref="E12:G12" si="6">D12</f>
        <v>15500</v>
      </c>
      <c r="F12" s="63">
        <f t="shared" si="6"/>
        <v>15500</v>
      </c>
      <c r="G12" s="63">
        <f t="shared" si="6"/>
        <v>15500</v>
      </c>
    </row>
    <row r="13" spans="1:11" x14ac:dyDescent="0.45">
      <c r="A13" s="82"/>
      <c r="B13" s="32" t="s">
        <v>47</v>
      </c>
      <c r="C13" s="63">
        <f>(((C10-C11)*0.95)*2)-C12*2</f>
        <v>92500</v>
      </c>
      <c r="D13" s="63">
        <f t="shared" ref="D13:G13" si="7">(((D10-D11)*0.95)*2)-D12*2</f>
        <v>96300</v>
      </c>
      <c r="E13" s="63">
        <f t="shared" si="7"/>
        <v>100100</v>
      </c>
      <c r="F13" s="63">
        <f t="shared" si="7"/>
        <v>103900</v>
      </c>
      <c r="G13" s="63">
        <f t="shared" si="7"/>
        <v>107700</v>
      </c>
    </row>
    <row r="14" spans="1:11" x14ac:dyDescent="0.45">
      <c r="A14" s="82"/>
      <c r="B14" s="32" t="s">
        <v>48</v>
      </c>
      <c r="C14" s="63">
        <f>(C10-C11)-C12</f>
        <v>49500</v>
      </c>
      <c r="D14" s="63">
        <f t="shared" ref="D14:G14" si="8">(D10-D11)-D12</f>
        <v>51500</v>
      </c>
      <c r="E14" s="63">
        <f t="shared" si="8"/>
        <v>53500</v>
      </c>
      <c r="F14" s="63">
        <f t="shared" si="8"/>
        <v>55500</v>
      </c>
      <c r="G14" s="63">
        <f t="shared" si="8"/>
        <v>57500</v>
      </c>
    </row>
    <row r="15" spans="1:11" x14ac:dyDescent="0.45">
      <c r="A15" s="83" t="s">
        <v>13</v>
      </c>
      <c r="B15" s="83"/>
      <c r="C15" s="69">
        <f t="shared" ref="C15:G15" si="9">SUM(C8,C13)</f>
        <v>180915</v>
      </c>
      <c r="D15" s="69">
        <f t="shared" si="9"/>
        <v>188515</v>
      </c>
      <c r="E15" s="69">
        <f t="shared" si="9"/>
        <v>196115</v>
      </c>
      <c r="F15" s="69">
        <f t="shared" si="9"/>
        <v>203715</v>
      </c>
      <c r="G15" s="69">
        <f t="shared" si="9"/>
        <v>211315</v>
      </c>
    </row>
    <row r="16" spans="1:11" x14ac:dyDescent="0.45">
      <c r="A16" s="75" t="s">
        <v>14</v>
      </c>
      <c r="B16" s="76"/>
      <c r="C16" s="76"/>
      <c r="D16" s="76"/>
      <c r="E16" s="76"/>
      <c r="F16" s="76"/>
      <c r="G16" s="76"/>
      <c r="H16" s="77"/>
    </row>
    <row r="17" spans="1:12" ht="26.15" customHeight="1" x14ac:dyDescent="0.45">
      <c r="A17" s="81" t="s">
        <v>38</v>
      </c>
      <c r="B17" s="53" t="s">
        <v>15</v>
      </c>
      <c r="C17" s="2">
        <f>C5*0.75</f>
        <v>56887.5</v>
      </c>
      <c r="D17" s="2">
        <f t="shared" ref="D17:G17" si="10">C17</f>
        <v>56887.5</v>
      </c>
      <c r="E17" s="2">
        <f t="shared" si="10"/>
        <v>56887.5</v>
      </c>
      <c r="F17" s="2">
        <f t="shared" si="10"/>
        <v>56887.5</v>
      </c>
      <c r="G17" s="2">
        <f t="shared" si="10"/>
        <v>56887.5</v>
      </c>
    </row>
    <row r="18" spans="1:12" x14ac:dyDescent="0.45">
      <c r="A18" s="82"/>
      <c r="B18" s="15" t="s">
        <v>11</v>
      </c>
      <c r="C18" s="38">
        <v>13000</v>
      </c>
      <c r="D18" s="38">
        <v>11000</v>
      </c>
      <c r="E18" s="38">
        <v>9000</v>
      </c>
      <c r="F18" s="38">
        <v>7000</v>
      </c>
      <c r="G18" s="38">
        <v>5000</v>
      </c>
    </row>
    <row r="19" spans="1:12" x14ac:dyDescent="0.45">
      <c r="A19" s="82"/>
      <c r="B19" s="60" t="s">
        <v>47</v>
      </c>
      <c r="C19" s="61">
        <f>((C17-C18)*0.95)*2</f>
        <v>83386.25</v>
      </c>
      <c r="D19" s="61">
        <f t="shared" ref="D19:G19" si="11">((D17-D18)*0.95)*2</f>
        <v>87186.25</v>
      </c>
      <c r="E19" s="61">
        <f t="shared" si="11"/>
        <v>90986.25</v>
      </c>
      <c r="F19" s="61">
        <f t="shared" si="11"/>
        <v>94786.25</v>
      </c>
      <c r="G19" s="61">
        <f t="shared" si="11"/>
        <v>98586.25</v>
      </c>
      <c r="H19" s="19"/>
      <c r="I19" s="19"/>
      <c r="J19" s="19"/>
      <c r="K19" s="19"/>
    </row>
    <row r="20" spans="1:12" x14ac:dyDescent="0.45">
      <c r="A20" s="82"/>
      <c r="B20" s="31" t="s">
        <v>48</v>
      </c>
      <c r="C20" s="61">
        <f>((C17-C18))</f>
        <v>43887.5</v>
      </c>
      <c r="D20" s="61">
        <f t="shared" ref="D20:G20" si="12">((D17-D18))</f>
        <v>45887.5</v>
      </c>
      <c r="E20" s="61">
        <f t="shared" si="12"/>
        <v>47887.5</v>
      </c>
      <c r="F20" s="61">
        <f t="shared" si="12"/>
        <v>49887.5</v>
      </c>
      <c r="G20" s="61">
        <f t="shared" si="12"/>
        <v>51887.5</v>
      </c>
      <c r="H20" s="19"/>
      <c r="I20" s="19"/>
      <c r="J20" s="19"/>
      <c r="K20" s="19"/>
      <c r="L20" s="19"/>
    </row>
    <row r="21" spans="1:12" ht="23.15" x14ac:dyDescent="0.45">
      <c r="A21" s="81" t="s">
        <v>39</v>
      </c>
      <c r="B21" s="53" t="s">
        <v>15</v>
      </c>
      <c r="C21" s="2">
        <f>C10*0.75</f>
        <v>58500</v>
      </c>
      <c r="D21" s="2">
        <f t="shared" ref="D21:G21" si="13">C21</f>
        <v>58500</v>
      </c>
      <c r="E21" s="2">
        <f t="shared" si="13"/>
        <v>58500</v>
      </c>
      <c r="F21" s="2">
        <f t="shared" si="13"/>
        <v>58500</v>
      </c>
      <c r="G21" s="2">
        <f t="shared" si="13"/>
        <v>58500</v>
      </c>
    </row>
    <row r="22" spans="1:12" x14ac:dyDescent="0.45">
      <c r="A22" s="82"/>
      <c r="B22" s="15" t="s">
        <v>11</v>
      </c>
      <c r="C22" s="2">
        <f t="shared" ref="C22:G22" si="14">C18</f>
        <v>13000</v>
      </c>
      <c r="D22" s="2">
        <f t="shared" si="14"/>
        <v>11000</v>
      </c>
      <c r="E22" s="2">
        <f t="shared" si="14"/>
        <v>9000</v>
      </c>
      <c r="F22" s="2">
        <f t="shared" si="14"/>
        <v>7000</v>
      </c>
      <c r="G22" s="2">
        <f t="shared" si="14"/>
        <v>5000</v>
      </c>
    </row>
    <row r="23" spans="1:12" x14ac:dyDescent="0.45">
      <c r="A23" s="82"/>
      <c r="B23" s="62" t="s">
        <v>47</v>
      </c>
      <c r="C23" s="63">
        <f>((C21-C22)*0.95)*2</f>
        <v>86450</v>
      </c>
      <c r="D23" s="63">
        <f t="shared" ref="D23:G23" si="15">((D21-D22)*0.95)*2</f>
        <v>90250</v>
      </c>
      <c r="E23" s="63">
        <f t="shared" si="15"/>
        <v>94050</v>
      </c>
      <c r="F23" s="63">
        <f t="shared" si="15"/>
        <v>97850</v>
      </c>
      <c r="G23" s="63">
        <f t="shared" si="15"/>
        <v>101650</v>
      </c>
    </row>
    <row r="24" spans="1:12" x14ac:dyDescent="0.45">
      <c r="A24" s="82"/>
      <c r="B24" s="32" t="s">
        <v>48</v>
      </c>
      <c r="C24" s="63">
        <f>((C21)-C22)</f>
        <v>45500</v>
      </c>
      <c r="D24" s="63">
        <f t="shared" ref="D24:G24" si="16">((D21)-D22)</f>
        <v>47500</v>
      </c>
      <c r="E24" s="63">
        <f t="shared" si="16"/>
        <v>49500</v>
      </c>
      <c r="F24" s="63">
        <f t="shared" si="16"/>
        <v>51500</v>
      </c>
      <c r="G24" s="63">
        <f t="shared" si="16"/>
        <v>53500</v>
      </c>
    </row>
    <row r="25" spans="1:12" ht="16" customHeight="1" x14ac:dyDescent="0.45">
      <c r="A25" s="83" t="s">
        <v>13</v>
      </c>
      <c r="B25" s="83"/>
      <c r="C25" s="69">
        <f t="shared" ref="C25:G25" si="17">SUM(C19,C23)</f>
        <v>169836.25</v>
      </c>
      <c r="D25" s="69">
        <f t="shared" si="17"/>
        <v>177436.25</v>
      </c>
      <c r="E25" s="69">
        <f t="shared" si="17"/>
        <v>185036.25</v>
      </c>
      <c r="F25" s="69">
        <f t="shared" si="17"/>
        <v>192636.25</v>
      </c>
      <c r="G25" s="69">
        <f t="shared" si="17"/>
        <v>200236.25</v>
      </c>
    </row>
    <row r="26" spans="1:12" ht="16" customHeight="1" x14ac:dyDescent="0.45">
      <c r="A26" s="84" t="s">
        <v>16</v>
      </c>
      <c r="B26" s="84"/>
      <c r="C26" s="84"/>
      <c r="D26" s="84"/>
      <c r="E26" s="84"/>
      <c r="F26" s="84"/>
      <c r="G26" s="84"/>
      <c r="H26" s="84"/>
    </row>
    <row r="27" spans="1:12" ht="16" customHeight="1" x14ac:dyDescent="0.45">
      <c r="A27" s="84"/>
      <c r="B27" s="84"/>
      <c r="C27" s="84"/>
      <c r="D27" s="84"/>
      <c r="E27" s="84"/>
      <c r="F27" s="84"/>
      <c r="G27" s="84"/>
      <c r="H27" s="84"/>
    </row>
    <row r="28" spans="1:12" ht="16" customHeight="1" x14ac:dyDescent="0.45">
      <c r="A28" s="84"/>
      <c r="B28" s="84"/>
      <c r="C28" s="84"/>
      <c r="D28" s="84"/>
      <c r="E28" s="84"/>
      <c r="F28" s="84"/>
      <c r="G28" s="84"/>
      <c r="H28" s="84"/>
    </row>
    <row r="29" spans="1:12" ht="16" customHeight="1" x14ac:dyDescent="0.45">
      <c r="A29" s="64" t="s">
        <v>17</v>
      </c>
      <c r="B29" s="64"/>
      <c r="C29" s="86" t="s">
        <v>18</v>
      </c>
      <c r="D29" s="86"/>
      <c r="E29" s="39">
        <v>5000</v>
      </c>
      <c r="F29" s="90"/>
      <c r="G29" s="90"/>
      <c r="H29" s="90"/>
    </row>
    <row r="30" spans="1:12" ht="17.149999999999999" customHeight="1" x14ac:dyDescent="0.45">
      <c r="A30" s="64"/>
      <c r="B30" s="64"/>
      <c r="C30" s="86" t="s">
        <v>19</v>
      </c>
      <c r="D30" s="86"/>
      <c r="E30" s="39">
        <v>3000</v>
      </c>
      <c r="F30" s="90"/>
      <c r="G30" s="90"/>
      <c r="H30" s="90"/>
    </row>
    <row r="31" spans="1:12" x14ac:dyDescent="0.45">
      <c r="A31" s="64"/>
      <c r="B31" s="64"/>
      <c r="C31" s="87" t="s">
        <v>20</v>
      </c>
      <c r="D31" s="87"/>
      <c r="E31" s="39">
        <v>3000</v>
      </c>
      <c r="F31" s="90"/>
      <c r="G31" s="90"/>
      <c r="H31" s="90"/>
    </row>
    <row r="32" spans="1:12" ht="46" customHeight="1" x14ac:dyDescent="0.45">
      <c r="A32" s="20" t="s">
        <v>21</v>
      </c>
      <c r="B32" s="20" t="s">
        <v>22</v>
      </c>
      <c r="C32" s="21" t="s">
        <v>23</v>
      </c>
      <c r="D32" s="21" t="s">
        <v>24</v>
      </c>
      <c r="E32" s="21" t="s">
        <v>25</v>
      </c>
      <c r="F32" s="21" t="s">
        <v>26</v>
      </c>
      <c r="G32" s="20" t="s">
        <v>27</v>
      </c>
      <c r="H32" s="20" t="s">
        <v>28</v>
      </c>
    </row>
    <row r="33" spans="1:8" ht="16" customHeight="1" x14ac:dyDescent="0.45">
      <c r="A33" s="16" t="s">
        <v>30</v>
      </c>
      <c r="B33" s="7">
        <f>B34*2</f>
        <v>9000</v>
      </c>
      <c r="C33" s="7">
        <f t="shared" ref="C33:H33" si="18">C34*2</f>
        <v>5000</v>
      </c>
      <c r="D33" s="7">
        <v>1000</v>
      </c>
      <c r="E33" s="7">
        <f t="shared" si="18"/>
        <v>1500</v>
      </c>
      <c r="F33" s="7">
        <f t="shared" si="18"/>
        <v>1000</v>
      </c>
      <c r="G33" s="7">
        <f t="shared" si="18"/>
        <v>1000</v>
      </c>
      <c r="H33" s="7">
        <f t="shared" si="18"/>
        <v>2400</v>
      </c>
    </row>
    <row r="34" spans="1:8" ht="33" customHeight="1" x14ac:dyDescent="0.45">
      <c r="A34" s="16" t="s">
        <v>31</v>
      </c>
      <c r="B34" s="7">
        <v>4500</v>
      </c>
      <c r="C34" s="7">
        <v>2500</v>
      </c>
      <c r="D34" s="22">
        <v>1000</v>
      </c>
      <c r="E34" s="22">
        <v>750</v>
      </c>
      <c r="F34" s="22">
        <v>500</v>
      </c>
      <c r="G34" s="7">
        <v>500</v>
      </c>
      <c r="H34" s="7">
        <v>1200</v>
      </c>
    </row>
    <row r="35" spans="1:8" ht="15" customHeight="1" x14ac:dyDescent="0.45">
      <c r="A35" s="91" t="s">
        <v>45</v>
      </c>
      <c r="B35" s="91"/>
      <c r="C35" s="91"/>
      <c r="D35" s="91"/>
      <c r="E35" s="91"/>
      <c r="F35" s="91"/>
      <c r="G35" s="91"/>
      <c r="H35" s="91"/>
    </row>
    <row r="36" spans="1:8" ht="19" customHeight="1" x14ac:dyDescent="0.45">
      <c r="A36" s="91" t="s">
        <v>46</v>
      </c>
      <c r="B36" s="91"/>
      <c r="C36" s="91"/>
      <c r="D36" s="91"/>
      <c r="E36" s="91"/>
      <c r="F36" s="91"/>
      <c r="G36" s="91"/>
      <c r="H36" s="91"/>
    </row>
    <row r="37" spans="1:8" ht="37" customHeight="1" x14ac:dyDescent="0.45">
      <c r="A37" s="92" t="s">
        <v>43</v>
      </c>
      <c r="B37" s="92"/>
      <c r="C37" s="92"/>
      <c r="D37" s="92"/>
      <c r="E37" s="92"/>
      <c r="F37" s="92"/>
      <c r="G37" s="92"/>
      <c r="H37" s="92"/>
    </row>
    <row r="38" spans="1:8" ht="43" customHeight="1" x14ac:dyDescent="0.45">
      <c r="A38" s="91" t="s">
        <v>32</v>
      </c>
      <c r="B38" s="91"/>
      <c r="C38" s="91"/>
      <c r="D38" s="91"/>
      <c r="E38" s="91"/>
      <c r="F38" s="91"/>
      <c r="G38" s="91"/>
      <c r="H38" s="91"/>
    </row>
    <row r="39" spans="1:8" x14ac:dyDescent="0.45">
      <c r="A39" s="73" t="s">
        <v>9</v>
      </c>
      <c r="B39" s="74"/>
      <c r="C39" s="74"/>
      <c r="D39" s="74"/>
      <c r="E39" s="74"/>
      <c r="F39" s="74"/>
      <c r="G39" s="74"/>
      <c r="H39" s="88"/>
    </row>
    <row r="41" spans="1:8" ht="28" customHeight="1" x14ac:dyDescent="0.45"/>
    <row r="42" spans="1:8" ht="13.5" customHeight="1" x14ac:dyDescent="0.45"/>
    <row r="44" spans="1:8" ht="28.75" customHeight="1" x14ac:dyDescent="0.45"/>
    <row r="45" spans="1:8" ht="39" customHeight="1" x14ac:dyDescent="0.45"/>
  </sheetData>
  <mergeCells count="20">
    <mergeCell ref="C29:D29"/>
    <mergeCell ref="F29:H31"/>
    <mergeCell ref="C30:D30"/>
    <mergeCell ref="C31:D31"/>
    <mergeCell ref="A1:H1"/>
    <mergeCell ref="A2:H2"/>
    <mergeCell ref="A4:H4"/>
    <mergeCell ref="A16:H16"/>
    <mergeCell ref="A39:H39"/>
    <mergeCell ref="A5:A9"/>
    <mergeCell ref="A10:A14"/>
    <mergeCell ref="A15:B15"/>
    <mergeCell ref="A17:A20"/>
    <mergeCell ref="A21:A24"/>
    <mergeCell ref="A35:H35"/>
    <mergeCell ref="A36:H36"/>
    <mergeCell ref="A37:H37"/>
    <mergeCell ref="A38:H38"/>
    <mergeCell ref="A25:B25"/>
    <mergeCell ref="A26:H28"/>
  </mergeCells>
  <pageMargins left="0.7" right="0.7" top="0.75" bottom="0.7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btech-cse</vt:lpstr>
      <vt:lpstr>btech-civil</vt:lpstr>
      <vt:lpstr>btech-ece</vt:lpstr>
      <vt:lpstr>btech-me</vt:lpstr>
      <vt:lpstr>mba</vt:lpstr>
      <vt:lpstr>bsc-nursing</vt:lpstr>
      <vt:lpstr>bba</vt:lpstr>
      <vt:lpstr>bba-hons</vt:lpstr>
      <vt:lpstr>bba-acca</vt:lpstr>
      <vt:lpstr>bcom-acca</vt:lpstr>
      <vt:lpstr>bcom</vt:lpstr>
      <vt:lpstr>bcom-hons</vt:lpstr>
      <vt:lpstr>mtech-me</vt:lpstr>
      <vt:lpstr>diploma-cse</vt:lpstr>
      <vt:lpstr>diploma-me</vt:lpstr>
      <vt:lpstr>diploma-civil</vt:lpstr>
      <vt:lpstr>bpharma</vt:lpstr>
      <vt:lpstr>bca-ai-ds</vt:lpstr>
      <vt:lpstr>bsc-it</vt:lpstr>
      <vt:lpstr>bca</vt:lpstr>
      <vt:lpstr>mca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Ashish Garg</dc:creator>
  <cp:lastModifiedBy>Sauhard Dobhal</cp:lastModifiedBy>
  <cp:lastPrinted>2023-03-11T12:40:55Z</cp:lastPrinted>
  <dcterms:created xsi:type="dcterms:W3CDTF">2022-01-04T08:24:24Z</dcterms:created>
  <dcterms:modified xsi:type="dcterms:W3CDTF">2025-04-24T21:42:47Z</dcterms:modified>
</cp:coreProperties>
</file>
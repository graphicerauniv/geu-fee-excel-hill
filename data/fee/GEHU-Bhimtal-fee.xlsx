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an/Developer/GraphicEra/geu-fee-excel-hill/data/fee/"/>
    </mc:Choice>
  </mc:AlternateContent>
  <xr:revisionPtr revIDLastSave="0" documentId="13_ncr:1_{FC14C6CE-5D01-F740-B1A6-F819220E7ABB}" xr6:coauthVersionLast="47" xr6:coauthVersionMax="47" xr10:uidLastSave="{00000000-0000-0000-0000-000000000000}"/>
  <bookViews>
    <workbookView xWindow="160" yWindow="920" windowWidth="29920" windowHeight="18560" xr2:uid="{D984F1A3-7D48-BC44-B8C5-1322E2E93C60}"/>
  </bookViews>
  <sheets>
    <sheet name="sample course" sheetId="10" r:id="rId1"/>
    <sheet name="Btech CSE" sheetId="2" r:id="rId2"/>
    <sheet name="Btech ME_CE_EC" sheetId="8" r:id="rId3"/>
    <sheet name="BBA (Hon.) 4years" sheetId="19" r:id="rId4"/>
    <sheet name="BBA (H)" sheetId="11" r:id="rId5"/>
    <sheet name=" B.com(H)" sheetId="18" r:id="rId6"/>
    <sheet name=" B.com (H) 4years" sheetId="12" r:id="rId7"/>
    <sheet name="Mtech ME" sheetId="17" r:id="rId8"/>
    <sheet name="Diploma" sheetId="22" r:id="rId9"/>
    <sheet name="BPharma" sheetId="13" r:id="rId10"/>
    <sheet name="BCA AI_DS" sheetId="20" r:id="rId11"/>
    <sheet name="BCA_BCA_IN_BScCs_BScIT_BSc_IN" sheetId="15" r:id="rId12"/>
    <sheet name="MCA" sheetId="9" r:id="rId13"/>
    <sheet name="MBA" sheetId="7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0" i="10" l="1"/>
  <c r="G49" i="10"/>
  <c r="F49" i="10"/>
  <c r="E49" i="10"/>
  <c r="C49" i="10"/>
  <c r="B49" i="10"/>
  <c r="H49" i="10" l="1"/>
  <c r="D30" i="7"/>
  <c r="D30" i="9"/>
  <c r="D37" i="15"/>
  <c r="D37" i="20"/>
  <c r="I21" i="13"/>
  <c r="I42" i="13"/>
  <c r="J42" i="13" s="1"/>
  <c r="D42" i="13"/>
  <c r="E30" i="17"/>
  <c r="F30" i="17"/>
  <c r="G30" i="17"/>
  <c r="H30" i="17"/>
  <c r="D30" i="17"/>
  <c r="I16" i="12"/>
  <c r="J42" i="12"/>
  <c r="E42" i="12"/>
  <c r="F42" i="12"/>
  <c r="G42" i="12"/>
  <c r="H42" i="12"/>
  <c r="I42" i="12"/>
  <c r="D42" i="12"/>
  <c r="I21" i="12"/>
  <c r="I37" i="18"/>
  <c r="I21" i="18"/>
  <c r="D37" i="18"/>
  <c r="D37" i="11"/>
  <c r="D42" i="19"/>
  <c r="I42" i="8"/>
  <c r="I21" i="8"/>
  <c r="D42" i="8"/>
  <c r="D42" i="2"/>
  <c r="H21" i="22"/>
  <c r="H20" i="22"/>
  <c r="G20" i="22"/>
  <c r="F20" i="22"/>
  <c r="E20" i="22"/>
  <c r="D20" i="22"/>
  <c r="C20" i="22"/>
  <c r="B20" i="22"/>
  <c r="C12" i="22"/>
  <c r="C8" i="22"/>
  <c r="C7" i="22"/>
  <c r="C13" i="22" l="1"/>
  <c r="C14" i="22"/>
  <c r="C10" i="22"/>
  <c r="C15" i="22" s="1"/>
  <c r="C11" i="22"/>
  <c r="I54" i="20"/>
  <c r="H53" i="20"/>
  <c r="G53" i="20"/>
  <c r="F53" i="20"/>
  <c r="E53" i="20"/>
  <c r="C53" i="20"/>
  <c r="B53" i="20"/>
  <c r="J42" i="20"/>
  <c r="J38" i="20"/>
  <c r="I38" i="20"/>
  <c r="I42" i="20" s="1"/>
  <c r="H38" i="20"/>
  <c r="H42" i="20" s="1"/>
  <c r="G38" i="20"/>
  <c r="G42" i="20" s="1"/>
  <c r="F38" i="20"/>
  <c r="F42" i="20" s="1"/>
  <c r="E38" i="20"/>
  <c r="E42" i="20" s="1"/>
  <c r="D38" i="20"/>
  <c r="D42" i="20" s="1"/>
  <c r="D33" i="20"/>
  <c r="E33" i="20" s="1"/>
  <c r="D28" i="20"/>
  <c r="E28" i="20" s="1"/>
  <c r="F28" i="20" s="1"/>
  <c r="G28" i="20" s="1"/>
  <c r="H28" i="20" s="1"/>
  <c r="I28" i="20" s="1"/>
  <c r="J28" i="20" s="1"/>
  <c r="E27" i="20"/>
  <c r="D27" i="20"/>
  <c r="D23" i="20"/>
  <c r="E23" i="20" s="1"/>
  <c r="F23" i="20" s="1"/>
  <c r="G23" i="20" s="1"/>
  <c r="H23" i="20" s="1"/>
  <c r="I23" i="20" s="1"/>
  <c r="J23" i="20" s="1"/>
  <c r="J22" i="20"/>
  <c r="J27" i="20" s="1"/>
  <c r="I22" i="20"/>
  <c r="I27" i="20" s="1"/>
  <c r="H22" i="20"/>
  <c r="H27" i="20" s="1"/>
  <c r="G22" i="20"/>
  <c r="G27" i="20" s="1"/>
  <c r="F22" i="20"/>
  <c r="F27" i="20" s="1"/>
  <c r="E22" i="20"/>
  <c r="D22" i="20"/>
  <c r="D26" i="20"/>
  <c r="D20" i="20"/>
  <c r="D19" i="20"/>
  <c r="E18" i="20"/>
  <c r="F18" i="20" s="1"/>
  <c r="E16" i="20"/>
  <c r="F16" i="20" s="1"/>
  <c r="G16" i="20" s="1"/>
  <c r="E20" i="20" l="1"/>
  <c r="E21" i="20"/>
  <c r="E19" i="20"/>
  <c r="D25" i="20"/>
  <c r="I53" i="20"/>
  <c r="D29" i="20"/>
  <c r="D24" i="20"/>
  <c r="D31" i="20" s="1"/>
  <c r="D35" i="20"/>
  <c r="D36" i="20"/>
  <c r="D39" i="20"/>
  <c r="H16" i="20"/>
  <c r="F19" i="20"/>
  <c r="F20" i="20"/>
  <c r="G18" i="20"/>
  <c r="H18" i="20" s="1"/>
  <c r="I18" i="20" s="1"/>
  <c r="J18" i="20" s="1"/>
  <c r="F33" i="20"/>
  <c r="E36" i="20"/>
  <c r="E35" i="20"/>
  <c r="E24" i="20"/>
  <c r="D41" i="20"/>
  <c r="E26" i="20"/>
  <c r="D30" i="20"/>
  <c r="E37" i="20" l="1"/>
  <c r="D40" i="20"/>
  <c r="E25" i="20"/>
  <c r="F21" i="20"/>
  <c r="E41" i="20"/>
  <c r="D44" i="20"/>
  <c r="D43" i="20"/>
  <c r="D45" i="20" s="1"/>
  <c r="E40" i="20"/>
  <c r="E39" i="20"/>
  <c r="F37" i="20"/>
  <c r="G33" i="20"/>
  <c r="F35" i="20"/>
  <c r="F36" i="20"/>
  <c r="H20" i="20"/>
  <c r="I16" i="20"/>
  <c r="H19" i="20"/>
  <c r="G20" i="20"/>
  <c r="E30" i="20"/>
  <c r="F26" i="20"/>
  <c r="E29" i="20"/>
  <c r="E31" i="20" s="1"/>
  <c r="G19" i="20"/>
  <c r="G21" i="20" l="1"/>
  <c r="F24" i="20"/>
  <c r="F25" i="20"/>
  <c r="I19" i="20"/>
  <c r="J16" i="20"/>
  <c r="I20" i="20"/>
  <c r="F29" i="20"/>
  <c r="G26" i="20"/>
  <c r="F30" i="20"/>
  <c r="G35" i="20"/>
  <c r="G36" i="20"/>
  <c r="H33" i="20"/>
  <c r="F41" i="20"/>
  <c r="E44" i="20"/>
  <c r="E43" i="20"/>
  <c r="E45" i="20" s="1"/>
  <c r="F39" i="20"/>
  <c r="G37" i="20"/>
  <c r="F40" i="20"/>
  <c r="F31" i="20" l="1"/>
  <c r="G24" i="20"/>
  <c r="G25" i="20"/>
  <c r="H21" i="20"/>
  <c r="F43" i="20"/>
  <c r="F45" i="20" s="1"/>
  <c r="F44" i="20"/>
  <c r="G41" i="20"/>
  <c r="H35" i="20"/>
  <c r="H36" i="20"/>
  <c r="I33" i="20"/>
  <c r="G40" i="20"/>
  <c r="H37" i="20"/>
  <c r="G39" i="20"/>
  <c r="J19" i="20"/>
  <c r="J20" i="20"/>
  <c r="H26" i="20"/>
  <c r="G29" i="20"/>
  <c r="G30" i="20"/>
  <c r="G31" i="20" l="1"/>
  <c r="H24" i="20"/>
  <c r="H25" i="20"/>
  <c r="I21" i="20"/>
  <c r="I37" i="20"/>
  <c r="H39" i="20"/>
  <c r="H40" i="20"/>
  <c r="G43" i="20"/>
  <c r="G45" i="20" s="1"/>
  <c r="H41" i="20"/>
  <c r="G44" i="20"/>
  <c r="I26" i="20"/>
  <c r="H29" i="20"/>
  <c r="H31" i="20" s="1"/>
  <c r="H30" i="20"/>
  <c r="I36" i="20"/>
  <c r="I35" i="20"/>
  <c r="J33" i="20"/>
  <c r="I25" i="20" l="1"/>
  <c r="J21" i="20"/>
  <c r="I24" i="20"/>
  <c r="J37" i="20"/>
  <c r="I39" i="20"/>
  <c r="I40" i="20"/>
  <c r="H43" i="20"/>
  <c r="H45" i="20" s="1"/>
  <c r="H44" i="20"/>
  <c r="I41" i="20"/>
  <c r="I29" i="20"/>
  <c r="J26" i="20"/>
  <c r="I30" i="20"/>
  <c r="J35" i="20"/>
  <c r="J36" i="20"/>
  <c r="I31" i="20" l="1"/>
  <c r="J24" i="20"/>
  <c r="J25" i="20"/>
  <c r="J29" i="20"/>
  <c r="J31" i="20" s="1"/>
  <c r="J30" i="20"/>
  <c r="J39" i="20"/>
  <c r="J40" i="20"/>
  <c r="I44" i="20"/>
  <c r="J41" i="20"/>
  <c r="I43" i="20"/>
  <c r="I45" i="20" s="1"/>
  <c r="J43" i="20" l="1"/>
  <c r="J45" i="20" s="1"/>
  <c r="J44" i="20"/>
  <c r="I63" i="19" l="1"/>
  <c r="H62" i="19"/>
  <c r="G62" i="19"/>
  <c r="F62" i="19"/>
  <c r="E62" i="19"/>
  <c r="C62" i="19"/>
  <c r="B62" i="19"/>
  <c r="J43" i="19"/>
  <c r="J47" i="19" s="1"/>
  <c r="J51" i="19" s="1"/>
  <c r="I43" i="19"/>
  <c r="I47" i="19" s="1"/>
  <c r="I51" i="19" s="1"/>
  <c r="H43" i="19"/>
  <c r="H47" i="19" s="1"/>
  <c r="H51" i="19" s="1"/>
  <c r="G43" i="19"/>
  <c r="G47" i="19" s="1"/>
  <c r="G51" i="19" s="1"/>
  <c r="F43" i="19"/>
  <c r="F47" i="19" s="1"/>
  <c r="F51" i="19" s="1"/>
  <c r="E43" i="19"/>
  <c r="E47" i="19" s="1"/>
  <c r="E51" i="19" s="1"/>
  <c r="D43" i="19"/>
  <c r="D47" i="19" s="1"/>
  <c r="D51" i="19" s="1"/>
  <c r="D38" i="19"/>
  <c r="E38" i="19" s="1"/>
  <c r="D23" i="19"/>
  <c r="E23" i="19" s="1"/>
  <c r="F23" i="19" s="1"/>
  <c r="G23" i="19" s="1"/>
  <c r="H23" i="19" s="1"/>
  <c r="I23" i="19" s="1"/>
  <c r="J23" i="19" s="1"/>
  <c r="J22" i="19"/>
  <c r="J27" i="19" s="1"/>
  <c r="J32" i="19" s="1"/>
  <c r="I22" i="19"/>
  <c r="I27" i="19" s="1"/>
  <c r="I32" i="19" s="1"/>
  <c r="H22" i="19"/>
  <c r="H27" i="19" s="1"/>
  <c r="H32" i="19" s="1"/>
  <c r="G22" i="19"/>
  <c r="G27" i="19" s="1"/>
  <c r="G32" i="19" s="1"/>
  <c r="F22" i="19"/>
  <c r="F27" i="19" s="1"/>
  <c r="F32" i="19" s="1"/>
  <c r="E22" i="19"/>
  <c r="E27" i="19" s="1"/>
  <c r="E32" i="19" s="1"/>
  <c r="D22" i="19"/>
  <c r="D27" i="19" s="1"/>
  <c r="D32" i="19" s="1"/>
  <c r="E21" i="19"/>
  <c r="D20" i="19"/>
  <c r="D19" i="19"/>
  <c r="E18" i="19"/>
  <c r="F18" i="19" s="1"/>
  <c r="G18" i="19" s="1"/>
  <c r="H18" i="19" s="1"/>
  <c r="I18" i="19" s="1"/>
  <c r="J18" i="19" s="1"/>
  <c r="E16" i="19"/>
  <c r="F16" i="19" s="1"/>
  <c r="E20" i="19" l="1"/>
  <c r="E25" i="19"/>
  <c r="D28" i="19"/>
  <c r="E28" i="19" s="1"/>
  <c r="F28" i="19" s="1"/>
  <c r="G28" i="19" s="1"/>
  <c r="H28" i="19" s="1"/>
  <c r="I28" i="19" s="1"/>
  <c r="J28" i="19" s="1"/>
  <c r="D44" i="19"/>
  <c r="D33" i="19"/>
  <c r="E33" i="19" s="1"/>
  <c r="F33" i="19" s="1"/>
  <c r="G33" i="19" s="1"/>
  <c r="H33" i="19" s="1"/>
  <c r="I33" i="19" s="1"/>
  <c r="J33" i="19" s="1"/>
  <c r="D24" i="19"/>
  <c r="D25" i="19"/>
  <c r="D26" i="19"/>
  <c r="I62" i="19"/>
  <c r="E19" i="19"/>
  <c r="F38" i="19"/>
  <c r="E40" i="19"/>
  <c r="E41" i="19"/>
  <c r="G16" i="19"/>
  <c r="F19" i="19"/>
  <c r="F20" i="19"/>
  <c r="F21" i="19"/>
  <c r="D41" i="19"/>
  <c r="D40" i="19"/>
  <c r="E24" i="19"/>
  <c r="D46" i="19"/>
  <c r="D50" i="19" s="1"/>
  <c r="D45" i="19"/>
  <c r="D30" i="19" l="1"/>
  <c r="D53" i="19"/>
  <c r="D52" i="19"/>
  <c r="E50" i="19"/>
  <c r="E42" i="19"/>
  <c r="E45" i="19" s="1"/>
  <c r="D29" i="19"/>
  <c r="D31" i="19"/>
  <c r="E26" i="19"/>
  <c r="E29" i="19" s="1"/>
  <c r="F24" i="19"/>
  <c r="F25" i="19"/>
  <c r="G21" i="19"/>
  <c r="E46" i="19"/>
  <c r="D48" i="19"/>
  <c r="D54" i="19" s="1"/>
  <c r="D49" i="19"/>
  <c r="G19" i="19"/>
  <c r="H16" i="19"/>
  <c r="G20" i="19"/>
  <c r="G38" i="19"/>
  <c r="F41" i="19"/>
  <c r="F40" i="19"/>
  <c r="E44" i="19" l="1"/>
  <c r="F42" i="19"/>
  <c r="F26" i="19"/>
  <c r="F30" i="19" s="1"/>
  <c r="E30" i="19"/>
  <c r="E52" i="19"/>
  <c r="E53" i="19"/>
  <c r="F50" i="19"/>
  <c r="E31" i="19"/>
  <c r="D35" i="19"/>
  <c r="D34" i="19"/>
  <c r="D36" i="19" s="1"/>
  <c r="G42" i="19"/>
  <c r="F44" i="19"/>
  <c r="F45" i="19"/>
  <c r="F46" i="19"/>
  <c r="E48" i="19"/>
  <c r="E54" i="19" s="1"/>
  <c r="E49" i="19"/>
  <c r="H38" i="19"/>
  <c r="G40" i="19"/>
  <c r="G41" i="19"/>
  <c r="H19" i="19"/>
  <c r="H20" i="19"/>
  <c r="I16" i="19"/>
  <c r="G24" i="19"/>
  <c r="G25" i="19"/>
  <c r="H21" i="19"/>
  <c r="F29" i="19" l="1"/>
  <c r="G26" i="19"/>
  <c r="G50" i="19"/>
  <c r="F53" i="19"/>
  <c r="F52" i="19"/>
  <c r="F31" i="19"/>
  <c r="E35" i="19"/>
  <c r="E34" i="19"/>
  <c r="E36" i="19" s="1"/>
  <c r="H25" i="19"/>
  <c r="I21" i="19"/>
  <c r="H24" i="19"/>
  <c r="G30" i="19"/>
  <c r="H26" i="19"/>
  <c r="G29" i="19"/>
  <c r="H42" i="19"/>
  <c r="G44" i="19"/>
  <c r="G45" i="19"/>
  <c r="F49" i="19"/>
  <c r="G46" i="19"/>
  <c r="F48" i="19"/>
  <c r="F54" i="19" s="1"/>
  <c r="H40" i="19"/>
  <c r="H41" i="19"/>
  <c r="I38" i="19"/>
  <c r="I19" i="19"/>
  <c r="I20" i="19"/>
  <c r="J16" i="19"/>
  <c r="G52" i="19" l="1"/>
  <c r="G53" i="19"/>
  <c r="H50" i="19"/>
  <c r="G31" i="19"/>
  <c r="F34" i="19"/>
  <c r="F36" i="19" s="1"/>
  <c r="F35" i="19"/>
  <c r="J21" i="19"/>
  <c r="I24" i="19"/>
  <c r="I25" i="19"/>
  <c r="I26" i="19"/>
  <c r="H29" i="19"/>
  <c r="H30" i="19"/>
  <c r="H46" i="19"/>
  <c r="G48" i="19"/>
  <c r="G54" i="19" s="1"/>
  <c r="G49" i="19"/>
  <c r="J19" i="19"/>
  <c r="J20" i="19"/>
  <c r="I41" i="19"/>
  <c r="I40" i="19"/>
  <c r="J38" i="19"/>
  <c r="I42" i="19"/>
  <c r="H44" i="19"/>
  <c r="H45" i="19"/>
  <c r="H52" i="19" l="1"/>
  <c r="I50" i="19"/>
  <c r="H53" i="19"/>
  <c r="H31" i="19"/>
  <c r="G34" i="19"/>
  <c r="G36" i="19" s="1"/>
  <c r="G35" i="19"/>
  <c r="J42" i="19"/>
  <c r="I44" i="19"/>
  <c r="I45" i="19"/>
  <c r="J25" i="19"/>
  <c r="J24" i="19"/>
  <c r="J26" i="19"/>
  <c r="I29" i="19"/>
  <c r="I30" i="19"/>
  <c r="J40" i="19"/>
  <c r="J41" i="19"/>
  <c r="H48" i="19"/>
  <c r="H54" i="19" s="1"/>
  <c r="H49" i="19"/>
  <c r="I46" i="19"/>
  <c r="I52" i="19" l="1"/>
  <c r="J50" i="19"/>
  <c r="I53" i="19"/>
  <c r="H34" i="19"/>
  <c r="H36" i="19" s="1"/>
  <c r="H35" i="19"/>
  <c r="I31" i="19"/>
  <c r="I49" i="19"/>
  <c r="J46" i="19"/>
  <c r="I48" i="19"/>
  <c r="I54" i="19" s="1"/>
  <c r="J30" i="19"/>
  <c r="J29" i="19"/>
  <c r="J45" i="19"/>
  <c r="J44" i="19"/>
  <c r="J53" i="19" l="1"/>
  <c r="J52" i="19"/>
  <c r="I34" i="19"/>
  <c r="I36" i="19" s="1"/>
  <c r="I35" i="19"/>
  <c r="J31" i="19"/>
  <c r="J48" i="19"/>
  <c r="J54" i="19" s="1"/>
  <c r="J49" i="19"/>
  <c r="J35" i="19" l="1"/>
  <c r="J34" i="19"/>
  <c r="J36" i="19" s="1"/>
  <c r="I54" i="18" l="1"/>
  <c r="H53" i="18"/>
  <c r="G53" i="18"/>
  <c r="F53" i="18"/>
  <c r="E53" i="18"/>
  <c r="C53" i="18"/>
  <c r="B53" i="18"/>
  <c r="J38" i="18"/>
  <c r="J42" i="18" s="1"/>
  <c r="I38" i="18"/>
  <c r="I42" i="18" s="1"/>
  <c r="H38" i="18"/>
  <c r="H42" i="18" s="1"/>
  <c r="G38" i="18"/>
  <c r="G42" i="18" s="1"/>
  <c r="F38" i="18"/>
  <c r="F42" i="18" s="1"/>
  <c r="E38" i="18"/>
  <c r="E42" i="18" s="1"/>
  <c r="D38" i="18"/>
  <c r="D42" i="18" s="1"/>
  <c r="D33" i="18"/>
  <c r="E33" i="18" s="1"/>
  <c r="D23" i="18"/>
  <c r="E23" i="18" s="1"/>
  <c r="J22" i="18"/>
  <c r="J27" i="18" s="1"/>
  <c r="I22" i="18"/>
  <c r="I27" i="18" s="1"/>
  <c r="H22" i="18"/>
  <c r="H27" i="18" s="1"/>
  <c r="G22" i="18"/>
  <c r="G27" i="18" s="1"/>
  <c r="F22" i="18"/>
  <c r="F27" i="18" s="1"/>
  <c r="E22" i="18"/>
  <c r="E27" i="18" s="1"/>
  <c r="D22" i="18"/>
  <c r="D27" i="18" s="1"/>
  <c r="D26" i="18"/>
  <c r="D20" i="18"/>
  <c r="D19" i="18"/>
  <c r="E18" i="18"/>
  <c r="F18" i="18" s="1"/>
  <c r="G18" i="18" s="1"/>
  <c r="H18" i="18" s="1"/>
  <c r="I18" i="18" s="1"/>
  <c r="E16" i="18"/>
  <c r="F16" i="18" s="1"/>
  <c r="D21" i="17"/>
  <c r="E21" i="17" s="1"/>
  <c r="D17" i="17"/>
  <c r="H43" i="17"/>
  <c r="G42" i="17"/>
  <c r="F42" i="17"/>
  <c r="E42" i="17"/>
  <c r="C42" i="17"/>
  <c r="B42" i="17"/>
  <c r="H31" i="17"/>
  <c r="G31" i="17"/>
  <c r="F31" i="17"/>
  <c r="E31" i="17"/>
  <c r="D31" i="17"/>
  <c r="D26" i="17"/>
  <c r="D29" i="17" s="1"/>
  <c r="H20" i="17"/>
  <c r="G20" i="17"/>
  <c r="F20" i="17"/>
  <c r="E20" i="17"/>
  <c r="D20" i="17"/>
  <c r="E14" i="17"/>
  <c r="D23" i="15"/>
  <c r="E23" i="15" s="1"/>
  <c r="E18" i="15"/>
  <c r="I54" i="15"/>
  <c r="H53" i="15"/>
  <c r="G53" i="15"/>
  <c r="F53" i="15"/>
  <c r="E53" i="15"/>
  <c r="C53" i="15"/>
  <c r="B53" i="15"/>
  <c r="J38" i="15"/>
  <c r="J42" i="15" s="1"/>
  <c r="I38" i="15"/>
  <c r="I42" i="15" s="1"/>
  <c r="H38" i="15"/>
  <c r="H42" i="15" s="1"/>
  <c r="G38" i="15"/>
  <c r="G42" i="15" s="1"/>
  <c r="F38" i="15"/>
  <c r="F42" i="15" s="1"/>
  <c r="E38" i="15"/>
  <c r="E42" i="15" s="1"/>
  <c r="D38" i="15"/>
  <c r="D42" i="15" s="1"/>
  <c r="D33" i="15"/>
  <c r="E33" i="15" s="1"/>
  <c r="E35" i="15" s="1"/>
  <c r="J22" i="15"/>
  <c r="J27" i="15" s="1"/>
  <c r="I22" i="15"/>
  <c r="I27" i="15" s="1"/>
  <c r="H22" i="15"/>
  <c r="H27" i="15" s="1"/>
  <c r="G22" i="15"/>
  <c r="G27" i="15" s="1"/>
  <c r="F22" i="15"/>
  <c r="F27" i="15" s="1"/>
  <c r="E22" i="15"/>
  <c r="E27" i="15" s="1"/>
  <c r="D22" i="15"/>
  <c r="E21" i="15"/>
  <c r="E16" i="15"/>
  <c r="D23" i="13"/>
  <c r="E23" i="13" s="1"/>
  <c r="D20" i="13"/>
  <c r="D19" i="13"/>
  <c r="I63" i="13"/>
  <c r="H62" i="13"/>
  <c r="G62" i="13"/>
  <c r="F62" i="13"/>
  <c r="E62" i="13"/>
  <c r="C62" i="13"/>
  <c r="B62" i="13"/>
  <c r="J43" i="13"/>
  <c r="J47" i="13" s="1"/>
  <c r="J51" i="13" s="1"/>
  <c r="I43" i="13"/>
  <c r="I47" i="13" s="1"/>
  <c r="I51" i="13" s="1"/>
  <c r="H43" i="13"/>
  <c r="H47" i="13" s="1"/>
  <c r="H51" i="13" s="1"/>
  <c r="G43" i="13"/>
  <c r="G47" i="13" s="1"/>
  <c r="G51" i="13" s="1"/>
  <c r="F43" i="13"/>
  <c r="F47" i="13" s="1"/>
  <c r="F51" i="13" s="1"/>
  <c r="E43" i="13"/>
  <c r="E47" i="13" s="1"/>
  <c r="E51" i="13" s="1"/>
  <c r="D43" i="13"/>
  <c r="D47" i="13" s="1"/>
  <c r="D51" i="13" s="1"/>
  <c r="D38" i="13"/>
  <c r="D41" i="13" s="1"/>
  <c r="J22" i="13"/>
  <c r="J27" i="13" s="1"/>
  <c r="J32" i="13" s="1"/>
  <c r="I22" i="13"/>
  <c r="I27" i="13" s="1"/>
  <c r="I32" i="13" s="1"/>
  <c r="H22" i="13"/>
  <c r="H27" i="13" s="1"/>
  <c r="H32" i="13" s="1"/>
  <c r="G22" i="13"/>
  <c r="G27" i="13" s="1"/>
  <c r="G32" i="13" s="1"/>
  <c r="F22" i="13"/>
  <c r="F27" i="13" s="1"/>
  <c r="F32" i="13" s="1"/>
  <c r="E22" i="13"/>
  <c r="E27" i="13" s="1"/>
  <c r="E32" i="13" s="1"/>
  <c r="D22" i="13"/>
  <c r="D27" i="13" s="1"/>
  <c r="D32" i="13" s="1"/>
  <c r="E21" i="13"/>
  <c r="E16" i="13"/>
  <c r="D23" i="12"/>
  <c r="E23" i="12" s="1"/>
  <c r="D20" i="12"/>
  <c r="D19" i="12"/>
  <c r="I63" i="12"/>
  <c r="H62" i="12"/>
  <c r="G62" i="12"/>
  <c r="F62" i="12"/>
  <c r="E62" i="12"/>
  <c r="C62" i="12"/>
  <c r="B62" i="12"/>
  <c r="J43" i="12"/>
  <c r="J47" i="12" s="1"/>
  <c r="J51" i="12" s="1"/>
  <c r="I43" i="12"/>
  <c r="I47" i="12" s="1"/>
  <c r="I51" i="12" s="1"/>
  <c r="H43" i="12"/>
  <c r="H47" i="12" s="1"/>
  <c r="H51" i="12" s="1"/>
  <c r="G43" i="12"/>
  <c r="G47" i="12" s="1"/>
  <c r="G51" i="12" s="1"/>
  <c r="F43" i="12"/>
  <c r="F47" i="12" s="1"/>
  <c r="F51" i="12" s="1"/>
  <c r="E43" i="12"/>
  <c r="E47" i="12" s="1"/>
  <c r="E51" i="12" s="1"/>
  <c r="D43" i="12"/>
  <c r="D47" i="12" s="1"/>
  <c r="D51" i="12" s="1"/>
  <c r="I38" i="12"/>
  <c r="I41" i="12" s="1"/>
  <c r="D38" i="12"/>
  <c r="E38" i="12" s="1"/>
  <c r="E40" i="12" s="1"/>
  <c r="J22" i="12"/>
  <c r="J27" i="12" s="1"/>
  <c r="J32" i="12" s="1"/>
  <c r="I22" i="12"/>
  <c r="I27" i="12" s="1"/>
  <c r="I32" i="12" s="1"/>
  <c r="H22" i="12"/>
  <c r="H27" i="12" s="1"/>
  <c r="H32" i="12" s="1"/>
  <c r="G22" i="12"/>
  <c r="G27" i="12" s="1"/>
  <c r="G32" i="12" s="1"/>
  <c r="F22" i="12"/>
  <c r="F27" i="12" s="1"/>
  <c r="F32" i="12" s="1"/>
  <c r="E22" i="12"/>
  <c r="E27" i="12" s="1"/>
  <c r="E32" i="12" s="1"/>
  <c r="D22" i="12"/>
  <c r="D27" i="12" s="1"/>
  <c r="D32" i="12" s="1"/>
  <c r="D26" i="12"/>
  <c r="D31" i="12" s="1"/>
  <c r="J16" i="12"/>
  <c r="E16" i="12"/>
  <c r="D23" i="11"/>
  <c r="D20" i="11"/>
  <c r="D19" i="11"/>
  <c r="E18" i="11"/>
  <c r="F18" i="11" s="1"/>
  <c r="I54" i="11"/>
  <c r="H53" i="11"/>
  <c r="G53" i="11"/>
  <c r="F53" i="11"/>
  <c r="E53" i="11"/>
  <c r="C53" i="11"/>
  <c r="B53" i="11"/>
  <c r="J38" i="11"/>
  <c r="J42" i="11" s="1"/>
  <c r="I38" i="11"/>
  <c r="I42" i="11" s="1"/>
  <c r="H38" i="11"/>
  <c r="H42" i="11" s="1"/>
  <c r="G38" i="11"/>
  <c r="G42" i="11" s="1"/>
  <c r="F38" i="11"/>
  <c r="F42" i="11" s="1"/>
  <c r="E38" i="11"/>
  <c r="E42" i="11" s="1"/>
  <c r="D38" i="11"/>
  <c r="D42" i="11" s="1"/>
  <c r="D33" i="11"/>
  <c r="E33" i="11" s="1"/>
  <c r="E35" i="11" s="1"/>
  <c r="J22" i="11"/>
  <c r="J27" i="11" s="1"/>
  <c r="I22" i="11"/>
  <c r="I27" i="11" s="1"/>
  <c r="H22" i="11"/>
  <c r="H27" i="11" s="1"/>
  <c r="G22" i="11"/>
  <c r="G27" i="11" s="1"/>
  <c r="F22" i="11"/>
  <c r="F27" i="11" s="1"/>
  <c r="E22" i="11"/>
  <c r="E27" i="11" s="1"/>
  <c r="D22" i="11"/>
  <c r="D27" i="11" s="1"/>
  <c r="E21" i="11"/>
  <c r="E16" i="11"/>
  <c r="C12" i="10"/>
  <c r="C17" i="10" s="1"/>
  <c r="C9" i="10"/>
  <c r="C8" i="10"/>
  <c r="D7" i="10"/>
  <c r="I32" i="10"/>
  <c r="I36" i="10" s="1"/>
  <c r="I40" i="10" s="1"/>
  <c r="H32" i="10"/>
  <c r="H36" i="10" s="1"/>
  <c r="H40" i="10" s="1"/>
  <c r="G32" i="10"/>
  <c r="G36" i="10" s="1"/>
  <c r="G40" i="10" s="1"/>
  <c r="F32" i="10"/>
  <c r="F36" i="10" s="1"/>
  <c r="F40" i="10" s="1"/>
  <c r="E32" i="10"/>
  <c r="E36" i="10" s="1"/>
  <c r="E40" i="10" s="1"/>
  <c r="D32" i="10"/>
  <c r="D36" i="10" s="1"/>
  <c r="D40" i="10" s="1"/>
  <c r="C32" i="10"/>
  <c r="C36" i="10" s="1"/>
  <c r="C40" i="10" s="1"/>
  <c r="C27" i="10"/>
  <c r="C30" i="10" s="1"/>
  <c r="I11" i="10"/>
  <c r="I16" i="10" s="1"/>
  <c r="I21" i="10" s="1"/>
  <c r="H11" i="10"/>
  <c r="H16" i="10" s="1"/>
  <c r="H21" i="10" s="1"/>
  <c r="G11" i="10"/>
  <c r="G16" i="10" s="1"/>
  <c r="G21" i="10" s="1"/>
  <c r="F11" i="10"/>
  <c r="F16" i="10" s="1"/>
  <c r="F21" i="10" s="1"/>
  <c r="E11" i="10"/>
  <c r="E16" i="10" s="1"/>
  <c r="E21" i="10" s="1"/>
  <c r="D11" i="10"/>
  <c r="D16" i="10" s="1"/>
  <c r="D21" i="10" s="1"/>
  <c r="C11" i="10"/>
  <c r="C16" i="10" s="1"/>
  <c r="C21" i="10" s="1"/>
  <c r="C10" i="10"/>
  <c r="D10" i="10" s="1"/>
  <c r="D5" i="10"/>
  <c r="E5" i="10" s="1"/>
  <c r="D21" i="9"/>
  <c r="D18" i="9"/>
  <c r="D17" i="9"/>
  <c r="E16" i="9"/>
  <c r="E17" i="9" s="1"/>
  <c r="I43" i="9"/>
  <c r="H42" i="9"/>
  <c r="G42" i="9"/>
  <c r="F42" i="9"/>
  <c r="E42" i="9"/>
  <c r="C42" i="9"/>
  <c r="B42" i="9"/>
  <c r="H31" i="9"/>
  <c r="G31" i="9"/>
  <c r="F31" i="9"/>
  <c r="E31" i="9"/>
  <c r="D31" i="9"/>
  <c r="D26" i="9"/>
  <c r="D32" i="9" s="1"/>
  <c r="H20" i="9"/>
  <c r="G20" i="9"/>
  <c r="F20" i="9"/>
  <c r="E20" i="9"/>
  <c r="D20" i="9"/>
  <c r="E14" i="9"/>
  <c r="D23" i="8"/>
  <c r="D28" i="8" s="1"/>
  <c r="E23" i="8"/>
  <c r="F23" i="8" s="1"/>
  <c r="D20" i="8"/>
  <c r="D19" i="8"/>
  <c r="E18" i="8"/>
  <c r="F18" i="8" s="1"/>
  <c r="H63" i="8"/>
  <c r="G62" i="8"/>
  <c r="F62" i="8"/>
  <c r="E62" i="8"/>
  <c r="C62" i="8"/>
  <c r="B62" i="8"/>
  <c r="J43" i="8"/>
  <c r="J47" i="8" s="1"/>
  <c r="J51" i="8" s="1"/>
  <c r="I43" i="8"/>
  <c r="I47" i="8" s="1"/>
  <c r="I51" i="8" s="1"/>
  <c r="H43" i="8"/>
  <c r="H47" i="8" s="1"/>
  <c r="H51" i="8" s="1"/>
  <c r="G43" i="8"/>
  <c r="G47" i="8" s="1"/>
  <c r="G51" i="8" s="1"/>
  <c r="F43" i="8"/>
  <c r="F47" i="8" s="1"/>
  <c r="F51" i="8" s="1"/>
  <c r="E43" i="8"/>
  <c r="E47" i="8" s="1"/>
  <c r="E51" i="8" s="1"/>
  <c r="D43" i="8"/>
  <c r="D47" i="8" s="1"/>
  <c r="D51" i="8" s="1"/>
  <c r="D38" i="8"/>
  <c r="D41" i="8" s="1"/>
  <c r="J22" i="8"/>
  <c r="J27" i="8" s="1"/>
  <c r="J32" i="8" s="1"/>
  <c r="I22" i="8"/>
  <c r="I27" i="8" s="1"/>
  <c r="I32" i="8" s="1"/>
  <c r="H22" i="8"/>
  <c r="H27" i="8" s="1"/>
  <c r="H32" i="8" s="1"/>
  <c r="G22" i="8"/>
  <c r="G27" i="8" s="1"/>
  <c r="G32" i="8" s="1"/>
  <c r="F22" i="8"/>
  <c r="F27" i="8" s="1"/>
  <c r="F32" i="8" s="1"/>
  <c r="E22" i="8"/>
  <c r="E27" i="8" s="1"/>
  <c r="E32" i="8" s="1"/>
  <c r="D22" i="8"/>
  <c r="D27" i="8" s="1"/>
  <c r="D32" i="8" s="1"/>
  <c r="E21" i="8"/>
  <c r="E16" i="8"/>
  <c r="F16" i="8" s="1"/>
  <c r="E28" i="8" l="1"/>
  <c r="F28" i="8" s="1"/>
  <c r="D33" i="8"/>
  <c r="E33" i="8" s="1"/>
  <c r="F33" i="8" s="1"/>
  <c r="D39" i="18"/>
  <c r="D22" i="9"/>
  <c r="D23" i="17"/>
  <c r="D28" i="18"/>
  <c r="E28" i="18" s="1"/>
  <c r="F28" i="18" s="1"/>
  <c r="G28" i="18" s="1"/>
  <c r="H28" i="18" s="1"/>
  <c r="I28" i="18" s="1"/>
  <c r="J28" i="18" s="1"/>
  <c r="D29" i="18"/>
  <c r="E20" i="11"/>
  <c r="E20" i="18"/>
  <c r="D36" i="18"/>
  <c r="I53" i="18"/>
  <c r="D24" i="18"/>
  <c r="E19" i="18"/>
  <c r="D25" i="18"/>
  <c r="E21" i="18"/>
  <c r="F21" i="18" s="1"/>
  <c r="G21" i="18" s="1"/>
  <c r="D35" i="18"/>
  <c r="E31" i="12"/>
  <c r="J18" i="18"/>
  <c r="F23" i="18"/>
  <c r="G23" i="18" s="1"/>
  <c r="H23" i="18" s="1"/>
  <c r="I23" i="18" s="1"/>
  <c r="F33" i="18"/>
  <c r="E36" i="18"/>
  <c r="E35" i="18"/>
  <c r="F19" i="18"/>
  <c r="F20" i="18"/>
  <c r="G16" i="18"/>
  <c r="E37" i="18"/>
  <c r="E26" i="18"/>
  <c r="D41" i="18"/>
  <c r="D40" i="18"/>
  <c r="D29" i="9"/>
  <c r="D28" i="9"/>
  <c r="H42" i="17"/>
  <c r="D28" i="17"/>
  <c r="D22" i="17"/>
  <c r="F21" i="17"/>
  <c r="D18" i="17"/>
  <c r="E16" i="17"/>
  <c r="D24" i="17"/>
  <c r="E19" i="17"/>
  <c r="E22" i="17" s="1"/>
  <c r="E26" i="17"/>
  <c r="F14" i="17"/>
  <c r="I53" i="15"/>
  <c r="D35" i="15"/>
  <c r="D36" i="15"/>
  <c r="E36" i="15"/>
  <c r="D28" i="15"/>
  <c r="E24" i="15"/>
  <c r="F23" i="15"/>
  <c r="E25" i="15"/>
  <c r="D25" i="15"/>
  <c r="D24" i="15"/>
  <c r="F18" i="15"/>
  <c r="E19" i="15"/>
  <c r="E20" i="15"/>
  <c r="D20" i="15"/>
  <c r="D19" i="15"/>
  <c r="D26" i="15"/>
  <c r="E26" i="15" s="1"/>
  <c r="D27" i="15"/>
  <c r="F33" i="15"/>
  <c r="F21" i="15"/>
  <c r="F16" i="15"/>
  <c r="I62" i="13"/>
  <c r="D40" i="13"/>
  <c r="D24" i="13"/>
  <c r="D28" i="13"/>
  <c r="D25" i="13"/>
  <c r="E28" i="13"/>
  <c r="E24" i="13"/>
  <c r="E25" i="13"/>
  <c r="F23" i="13"/>
  <c r="E18" i="13"/>
  <c r="D26" i="13"/>
  <c r="E38" i="13"/>
  <c r="F21" i="13"/>
  <c r="E26" i="13"/>
  <c r="D31" i="13"/>
  <c r="F16" i="13"/>
  <c r="D40" i="12"/>
  <c r="I40" i="12"/>
  <c r="D41" i="12"/>
  <c r="E41" i="12"/>
  <c r="D24" i="12"/>
  <c r="D25" i="12"/>
  <c r="D28" i="12"/>
  <c r="F23" i="12"/>
  <c r="E18" i="12"/>
  <c r="I62" i="12"/>
  <c r="E21" i="12"/>
  <c r="F21" i="12" s="1"/>
  <c r="F38" i="12"/>
  <c r="E26" i="12"/>
  <c r="J38" i="12"/>
  <c r="J40" i="12" s="1"/>
  <c r="F16" i="12"/>
  <c r="J21" i="12"/>
  <c r="I26" i="12"/>
  <c r="I31" i="12" s="1"/>
  <c r="I53" i="11"/>
  <c r="D25" i="11"/>
  <c r="D24" i="11"/>
  <c r="E23" i="11"/>
  <c r="E24" i="11" s="1"/>
  <c r="D35" i="11"/>
  <c r="D28" i="11"/>
  <c r="E28" i="11" s="1"/>
  <c r="F28" i="11" s="1"/>
  <c r="D36" i="11"/>
  <c r="E36" i="11"/>
  <c r="G18" i="11"/>
  <c r="F20" i="11"/>
  <c r="E19" i="11"/>
  <c r="D26" i="11"/>
  <c r="F33" i="11"/>
  <c r="F21" i="11"/>
  <c r="F16" i="11"/>
  <c r="F19" i="11" s="1"/>
  <c r="C29" i="10"/>
  <c r="D8" i="10"/>
  <c r="C13" i="10"/>
  <c r="C14" i="10"/>
  <c r="D17" i="10"/>
  <c r="E17" i="10" s="1"/>
  <c r="C22" i="10"/>
  <c r="D12" i="10"/>
  <c r="E12" i="10" s="1"/>
  <c r="F12" i="10" s="1"/>
  <c r="D9" i="10"/>
  <c r="E7" i="10"/>
  <c r="C15" i="10"/>
  <c r="D15" i="10" s="1"/>
  <c r="E10" i="10"/>
  <c r="F5" i="10"/>
  <c r="D27" i="10"/>
  <c r="C31" i="10"/>
  <c r="D33" i="9"/>
  <c r="E21" i="9"/>
  <c r="D23" i="9"/>
  <c r="F16" i="9"/>
  <c r="E18" i="9"/>
  <c r="E19" i="9"/>
  <c r="E26" i="9"/>
  <c r="E28" i="9" s="1"/>
  <c r="I42" i="9"/>
  <c r="D24" i="9"/>
  <c r="E30" i="9"/>
  <c r="E32" i="9" s="1"/>
  <c r="F14" i="9"/>
  <c r="D24" i="8"/>
  <c r="D25" i="8"/>
  <c r="F19" i="8"/>
  <c r="D40" i="8"/>
  <c r="E20" i="8"/>
  <c r="E19" i="8"/>
  <c r="G33" i="8"/>
  <c r="G28" i="8"/>
  <c r="G23" i="8"/>
  <c r="E25" i="8"/>
  <c r="E24" i="8"/>
  <c r="F20" i="8"/>
  <c r="G18" i="8"/>
  <c r="H62" i="8"/>
  <c r="D26" i="8"/>
  <c r="E26" i="8" s="1"/>
  <c r="E30" i="8" s="1"/>
  <c r="F21" i="8"/>
  <c r="F24" i="8" s="1"/>
  <c r="G16" i="8"/>
  <c r="E38" i="8"/>
  <c r="D30" i="18" l="1"/>
  <c r="E25" i="18"/>
  <c r="E24" i="18"/>
  <c r="D31" i="18"/>
  <c r="F24" i="18"/>
  <c r="F25" i="18"/>
  <c r="E28" i="12"/>
  <c r="F28" i="12" s="1"/>
  <c r="G28" i="12" s="1"/>
  <c r="D33" i="12"/>
  <c r="F31" i="12"/>
  <c r="J31" i="12"/>
  <c r="E30" i="18"/>
  <c r="F26" i="18"/>
  <c r="E29" i="18"/>
  <c r="E31" i="18" s="1"/>
  <c r="G33" i="18"/>
  <c r="F36" i="18"/>
  <c r="F35" i="18"/>
  <c r="G24" i="18"/>
  <c r="G25" i="18"/>
  <c r="H21" i="18"/>
  <c r="E41" i="18"/>
  <c r="D43" i="18"/>
  <c r="D45" i="18" s="1"/>
  <c r="D44" i="18"/>
  <c r="H16" i="18"/>
  <c r="I16" i="18" s="1"/>
  <c r="G20" i="18"/>
  <c r="G19" i="18"/>
  <c r="E40" i="18"/>
  <c r="E39" i="18"/>
  <c r="F37" i="18"/>
  <c r="J23" i="18"/>
  <c r="E28" i="17"/>
  <c r="E29" i="17"/>
  <c r="D32" i="17"/>
  <c r="D34" i="17" s="1"/>
  <c r="D33" i="17"/>
  <c r="F19" i="17"/>
  <c r="F22" i="17" s="1"/>
  <c r="E23" i="17"/>
  <c r="F23" i="17"/>
  <c r="G21" i="17"/>
  <c r="E17" i="17"/>
  <c r="E24" i="17" s="1"/>
  <c r="F16" i="17"/>
  <c r="E18" i="17"/>
  <c r="G14" i="17"/>
  <c r="F26" i="17"/>
  <c r="G19" i="17"/>
  <c r="F36" i="15"/>
  <c r="F35" i="15"/>
  <c r="D40" i="15"/>
  <c r="D39" i="15"/>
  <c r="E28" i="15"/>
  <c r="D30" i="15"/>
  <c r="D29" i="15"/>
  <c r="D31" i="15" s="1"/>
  <c r="F24" i="15"/>
  <c r="G23" i="15"/>
  <c r="F25" i="15"/>
  <c r="F19" i="15"/>
  <c r="G18" i="15"/>
  <c r="F20" i="15"/>
  <c r="F26" i="15"/>
  <c r="G16" i="15"/>
  <c r="G33" i="15"/>
  <c r="G21" i="15"/>
  <c r="D41" i="15"/>
  <c r="E37" i="15"/>
  <c r="E41" i="13"/>
  <c r="E40" i="13"/>
  <c r="D44" i="13"/>
  <c r="D45" i="13"/>
  <c r="D29" i="13"/>
  <c r="D33" i="13"/>
  <c r="D30" i="13"/>
  <c r="E29" i="13"/>
  <c r="E30" i="13"/>
  <c r="F28" i="13"/>
  <c r="G23" i="13"/>
  <c r="F24" i="13"/>
  <c r="F25" i="13"/>
  <c r="E19" i="13"/>
  <c r="F18" i="13"/>
  <c r="E20" i="13"/>
  <c r="F38" i="13"/>
  <c r="G38" i="13" s="1"/>
  <c r="F26" i="13"/>
  <c r="G16" i="13"/>
  <c r="E42" i="13"/>
  <c r="D46" i="13"/>
  <c r="E31" i="13"/>
  <c r="G21" i="13"/>
  <c r="E24" i="12"/>
  <c r="E25" i="12"/>
  <c r="D29" i="12"/>
  <c r="D30" i="12"/>
  <c r="D44" i="12"/>
  <c r="D45" i="12"/>
  <c r="I44" i="12"/>
  <c r="I45" i="12"/>
  <c r="J41" i="12"/>
  <c r="F41" i="12"/>
  <c r="F40" i="12"/>
  <c r="F24" i="12"/>
  <c r="G23" i="12"/>
  <c r="F25" i="12"/>
  <c r="E20" i="12"/>
  <c r="F18" i="12"/>
  <c r="E19" i="12"/>
  <c r="G21" i="12"/>
  <c r="H21" i="12" s="1"/>
  <c r="D46" i="12"/>
  <c r="D50" i="12" s="1"/>
  <c r="J26" i="12"/>
  <c r="F26" i="12"/>
  <c r="G38" i="12"/>
  <c r="I46" i="12"/>
  <c r="I50" i="12" s="1"/>
  <c r="G16" i="12"/>
  <c r="F23" i="11"/>
  <c r="E25" i="11"/>
  <c r="D30" i="11"/>
  <c r="D29" i="11"/>
  <c r="D31" i="11" s="1"/>
  <c r="F36" i="11"/>
  <c r="F35" i="11"/>
  <c r="D40" i="11"/>
  <c r="D39" i="11"/>
  <c r="G28" i="11"/>
  <c r="F24" i="11"/>
  <c r="G23" i="11"/>
  <c r="F25" i="11"/>
  <c r="H18" i="11"/>
  <c r="E26" i="11"/>
  <c r="F26" i="11" s="1"/>
  <c r="E37" i="11"/>
  <c r="D41" i="11"/>
  <c r="G21" i="11"/>
  <c r="G33" i="11"/>
  <c r="G16" i="11"/>
  <c r="G20" i="11" s="1"/>
  <c r="C19" i="10"/>
  <c r="E14" i="10"/>
  <c r="D14" i="10"/>
  <c r="E13" i="10"/>
  <c r="D18" i="10"/>
  <c r="D29" i="10"/>
  <c r="D30" i="10"/>
  <c r="C33" i="10"/>
  <c r="C34" i="10"/>
  <c r="C18" i="10"/>
  <c r="D19" i="10"/>
  <c r="D22" i="10"/>
  <c r="D13" i="10"/>
  <c r="F17" i="10"/>
  <c r="G12" i="10"/>
  <c r="F7" i="10"/>
  <c r="E8" i="10"/>
  <c r="E9" i="10"/>
  <c r="C20" i="10"/>
  <c r="D20" i="10" s="1"/>
  <c r="E27" i="10"/>
  <c r="D31" i="10"/>
  <c r="C35" i="10"/>
  <c r="G5" i="10"/>
  <c r="E15" i="10"/>
  <c r="E19" i="10" s="1"/>
  <c r="F10" i="10"/>
  <c r="F13" i="10" s="1"/>
  <c r="F26" i="9"/>
  <c r="F28" i="9" s="1"/>
  <c r="E29" i="9"/>
  <c r="E34" i="9"/>
  <c r="E33" i="9"/>
  <c r="E22" i="9"/>
  <c r="E24" i="9" s="1"/>
  <c r="F21" i="9"/>
  <c r="E23" i="9"/>
  <c r="G16" i="9"/>
  <c r="F18" i="9"/>
  <c r="F17" i="9"/>
  <c r="D34" i="9"/>
  <c r="F19" i="9"/>
  <c r="F30" i="9"/>
  <c r="F32" i="9" s="1"/>
  <c r="G14" i="9"/>
  <c r="D31" i="8"/>
  <c r="D35" i="8" s="1"/>
  <c r="D30" i="8"/>
  <c r="D29" i="8"/>
  <c r="E29" i="8"/>
  <c r="F25" i="8"/>
  <c r="D44" i="8"/>
  <c r="D45" i="8"/>
  <c r="E41" i="8"/>
  <c r="E40" i="8"/>
  <c r="H33" i="8"/>
  <c r="H28" i="8"/>
  <c r="H23" i="8"/>
  <c r="G19" i="8"/>
  <c r="G20" i="8"/>
  <c r="H18" i="8"/>
  <c r="F26" i="8"/>
  <c r="E42" i="8"/>
  <c r="D46" i="8"/>
  <c r="H16" i="8"/>
  <c r="F38" i="8"/>
  <c r="G21" i="8"/>
  <c r="G24" i="8" s="1"/>
  <c r="F30" i="12" l="1"/>
  <c r="E31" i="8"/>
  <c r="D34" i="8"/>
  <c r="D36" i="8" s="1"/>
  <c r="E30" i="12"/>
  <c r="E29" i="12"/>
  <c r="I33" i="18"/>
  <c r="J16" i="18"/>
  <c r="I19" i="18"/>
  <c r="I20" i="18"/>
  <c r="D53" i="12"/>
  <c r="E50" i="12"/>
  <c r="D52" i="12"/>
  <c r="I52" i="12"/>
  <c r="J50" i="12"/>
  <c r="I53" i="12"/>
  <c r="G31" i="12"/>
  <c r="E33" i="12"/>
  <c r="D34" i="12"/>
  <c r="D36" i="12" s="1"/>
  <c r="D35" i="12"/>
  <c r="G26" i="18"/>
  <c r="F29" i="18"/>
  <c r="F31" i="18" s="1"/>
  <c r="F30" i="18"/>
  <c r="H20" i="18"/>
  <c r="H19" i="18"/>
  <c r="F40" i="18"/>
  <c r="G37" i="18"/>
  <c r="F39" i="18"/>
  <c r="F41" i="18"/>
  <c r="E44" i="18"/>
  <c r="E43" i="18"/>
  <c r="E45" i="18" s="1"/>
  <c r="G35" i="18"/>
  <c r="G36" i="18"/>
  <c r="H33" i="18"/>
  <c r="H25" i="18"/>
  <c r="H24" i="18"/>
  <c r="F29" i="12"/>
  <c r="G26" i="9"/>
  <c r="G28" i="9" s="1"/>
  <c r="F29" i="17"/>
  <c r="F28" i="17"/>
  <c r="E32" i="17"/>
  <c r="E34" i="17" s="1"/>
  <c r="E33" i="17"/>
  <c r="G23" i="17"/>
  <c r="H21" i="17"/>
  <c r="G22" i="17"/>
  <c r="F17" i="17"/>
  <c r="F24" i="17" s="1"/>
  <c r="F18" i="17"/>
  <c r="G16" i="17"/>
  <c r="H14" i="17"/>
  <c r="G26" i="17"/>
  <c r="H19" i="17"/>
  <c r="E40" i="15"/>
  <c r="E39" i="15"/>
  <c r="D43" i="15"/>
  <c r="D45" i="15" s="1"/>
  <c r="D44" i="15"/>
  <c r="G35" i="15"/>
  <c r="G36" i="15"/>
  <c r="F28" i="15"/>
  <c r="E29" i="15"/>
  <c r="E31" i="15" s="1"/>
  <c r="E30" i="15"/>
  <c r="H23" i="15"/>
  <c r="G24" i="15"/>
  <c r="G25" i="15"/>
  <c r="H18" i="15"/>
  <c r="G19" i="15"/>
  <c r="G20" i="15"/>
  <c r="F37" i="15"/>
  <c r="E41" i="15"/>
  <c r="H33" i="15"/>
  <c r="H16" i="15"/>
  <c r="H21" i="15"/>
  <c r="G26" i="15"/>
  <c r="D49" i="13"/>
  <c r="D48" i="13"/>
  <c r="E44" i="13"/>
  <c r="E45" i="13"/>
  <c r="G40" i="13"/>
  <c r="G41" i="13"/>
  <c r="F41" i="13"/>
  <c r="F40" i="13"/>
  <c r="D34" i="13"/>
  <c r="D36" i="13" s="1"/>
  <c r="D35" i="13"/>
  <c r="E33" i="13"/>
  <c r="F30" i="13"/>
  <c r="G28" i="13"/>
  <c r="F29" i="13"/>
  <c r="H23" i="13"/>
  <c r="G24" i="13"/>
  <c r="G25" i="13"/>
  <c r="F19" i="13"/>
  <c r="F20" i="13"/>
  <c r="G18" i="13"/>
  <c r="H21" i="13"/>
  <c r="G26" i="13"/>
  <c r="E46" i="13"/>
  <c r="D50" i="13"/>
  <c r="F42" i="13"/>
  <c r="F31" i="13"/>
  <c r="H16" i="13"/>
  <c r="H38" i="13"/>
  <c r="I48" i="12"/>
  <c r="I54" i="12" s="1"/>
  <c r="I49" i="12"/>
  <c r="E44" i="12"/>
  <c r="E45" i="12"/>
  <c r="J44" i="12"/>
  <c r="J45" i="12"/>
  <c r="D48" i="12"/>
  <c r="D49" i="12"/>
  <c r="G40" i="12"/>
  <c r="G41" i="12"/>
  <c r="H28" i="12"/>
  <c r="H23" i="12"/>
  <c r="G25" i="12"/>
  <c r="G24" i="12"/>
  <c r="G18" i="12"/>
  <c r="F20" i="12"/>
  <c r="F19" i="12"/>
  <c r="E46" i="12"/>
  <c r="F46" i="12" s="1"/>
  <c r="J46" i="12"/>
  <c r="G26" i="12"/>
  <c r="G29" i="12" s="1"/>
  <c r="H38" i="12"/>
  <c r="H16" i="12"/>
  <c r="F29" i="11"/>
  <c r="F31" i="11" s="1"/>
  <c r="F30" i="11"/>
  <c r="G19" i="11"/>
  <c r="E30" i="11"/>
  <c r="E29" i="11"/>
  <c r="E31" i="11" s="1"/>
  <c r="D43" i="11"/>
  <c r="D45" i="11" s="1"/>
  <c r="D44" i="11"/>
  <c r="E39" i="11"/>
  <c r="E40" i="11"/>
  <c r="F37" i="11"/>
  <c r="G35" i="11"/>
  <c r="G36" i="11"/>
  <c r="H28" i="11"/>
  <c r="H23" i="11"/>
  <c r="G24" i="11"/>
  <c r="G25" i="11"/>
  <c r="I18" i="11"/>
  <c r="E41" i="11"/>
  <c r="F41" i="11" s="1"/>
  <c r="G26" i="11"/>
  <c r="G30" i="11" s="1"/>
  <c r="H33" i="11"/>
  <c r="H16" i="11"/>
  <c r="H20" i="11" s="1"/>
  <c r="H21" i="11"/>
  <c r="E18" i="10"/>
  <c r="E29" i="10"/>
  <c r="E30" i="10"/>
  <c r="C37" i="10"/>
  <c r="C38" i="10"/>
  <c r="D33" i="10"/>
  <c r="D34" i="10"/>
  <c r="F14" i="10"/>
  <c r="C24" i="10"/>
  <c r="C23" i="10"/>
  <c r="C25" i="10" s="1"/>
  <c r="D24" i="10"/>
  <c r="D23" i="10"/>
  <c r="D25" i="10" s="1"/>
  <c r="E22" i="10"/>
  <c r="G17" i="10"/>
  <c r="H12" i="10"/>
  <c r="G7" i="10"/>
  <c r="F8" i="10"/>
  <c r="F9" i="10"/>
  <c r="F27" i="10"/>
  <c r="G10" i="10"/>
  <c r="G13" i="10" s="1"/>
  <c r="F15" i="10"/>
  <c r="F19" i="10" s="1"/>
  <c r="E31" i="10"/>
  <c r="H5" i="10"/>
  <c r="C39" i="10"/>
  <c r="D35" i="10"/>
  <c r="E20" i="10"/>
  <c r="F33" i="9"/>
  <c r="F34" i="9"/>
  <c r="F29" i="9"/>
  <c r="G21" i="9"/>
  <c r="F23" i="9"/>
  <c r="F22" i="9"/>
  <c r="F24" i="9" s="1"/>
  <c r="G18" i="9"/>
  <c r="G17" i="9"/>
  <c r="H16" i="9"/>
  <c r="G19" i="9"/>
  <c r="G30" i="9"/>
  <c r="G32" i="9" s="1"/>
  <c r="H14" i="9"/>
  <c r="F30" i="8"/>
  <c r="F29" i="8"/>
  <c r="G25" i="8"/>
  <c r="E34" i="8"/>
  <c r="E36" i="8" s="1"/>
  <c r="E35" i="8"/>
  <c r="F40" i="8"/>
  <c r="F41" i="8"/>
  <c r="D48" i="8"/>
  <c r="D49" i="8"/>
  <c r="E44" i="8"/>
  <c r="E45" i="8"/>
  <c r="I33" i="8"/>
  <c r="I28" i="8"/>
  <c r="I23" i="8"/>
  <c r="I18" i="8"/>
  <c r="J18" i="8" s="1"/>
  <c r="H20" i="8"/>
  <c r="H19" i="8"/>
  <c r="G38" i="8"/>
  <c r="D50" i="8"/>
  <c r="E46" i="8"/>
  <c r="F42" i="8"/>
  <c r="F31" i="8"/>
  <c r="H21" i="8"/>
  <c r="H25" i="8" s="1"/>
  <c r="I16" i="8"/>
  <c r="G26" i="8"/>
  <c r="H26" i="9" l="1"/>
  <c r="H28" i="9" s="1"/>
  <c r="G29" i="9"/>
  <c r="I26" i="18"/>
  <c r="J21" i="18"/>
  <c r="I25" i="18"/>
  <c r="I24" i="18"/>
  <c r="J19" i="18"/>
  <c r="J20" i="18"/>
  <c r="I36" i="18"/>
  <c r="I35" i="18"/>
  <c r="J33" i="18"/>
  <c r="D54" i="12"/>
  <c r="J53" i="12"/>
  <c r="J52" i="12"/>
  <c r="F50" i="12"/>
  <c r="E52" i="12"/>
  <c r="E53" i="12"/>
  <c r="H31" i="12"/>
  <c r="F33" i="12"/>
  <c r="E34" i="12"/>
  <c r="E36" i="12" s="1"/>
  <c r="E35" i="12"/>
  <c r="H35" i="18"/>
  <c r="H36" i="18"/>
  <c r="F44" i="18"/>
  <c r="F43" i="18"/>
  <c r="F45" i="18" s="1"/>
  <c r="G41" i="18"/>
  <c r="H26" i="18"/>
  <c r="G29" i="18"/>
  <c r="G31" i="18" s="1"/>
  <c r="G30" i="18"/>
  <c r="G40" i="18"/>
  <c r="H37" i="18"/>
  <c r="G39" i="18"/>
  <c r="F33" i="17"/>
  <c r="F32" i="17"/>
  <c r="F34" i="17" s="1"/>
  <c r="G28" i="17"/>
  <c r="G29" i="17"/>
  <c r="H23" i="17"/>
  <c r="H22" i="17"/>
  <c r="G17" i="17"/>
  <c r="G24" i="17" s="1"/>
  <c r="G18" i="17"/>
  <c r="H16" i="17"/>
  <c r="H26" i="17"/>
  <c r="F39" i="15"/>
  <c r="F40" i="15"/>
  <c r="H35" i="15"/>
  <c r="H36" i="15"/>
  <c r="E43" i="15"/>
  <c r="E45" i="15" s="1"/>
  <c r="E44" i="15"/>
  <c r="G28" i="15"/>
  <c r="F29" i="15"/>
  <c r="F31" i="15" s="1"/>
  <c r="F30" i="15"/>
  <c r="H24" i="15"/>
  <c r="H25" i="15"/>
  <c r="I23" i="15"/>
  <c r="H19" i="15"/>
  <c r="H20" i="15"/>
  <c r="I18" i="15"/>
  <c r="I21" i="15"/>
  <c r="F41" i="15"/>
  <c r="I16" i="15"/>
  <c r="G37" i="15"/>
  <c r="I33" i="15"/>
  <c r="H26" i="15"/>
  <c r="D53" i="13"/>
  <c r="D52" i="13"/>
  <c r="E48" i="13"/>
  <c r="E49" i="13"/>
  <c r="H40" i="13"/>
  <c r="H41" i="13"/>
  <c r="F45" i="13"/>
  <c r="F44" i="13"/>
  <c r="E34" i="13"/>
  <c r="E36" i="13" s="1"/>
  <c r="F33" i="13"/>
  <c r="E35" i="13"/>
  <c r="H28" i="13"/>
  <c r="G29" i="13"/>
  <c r="G30" i="13"/>
  <c r="H24" i="13"/>
  <c r="H25" i="13"/>
  <c r="I23" i="13"/>
  <c r="H18" i="13"/>
  <c r="G19" i="13"/>
  <c r="G20" i="13"/>
  <c r="G42" i="13"/>
  <c r="I16" i="13"/>
  <c r="H26" i="13"/>
  <c r="G31" i="13"/>
  <c r="E50" i="13"/>
  <c r="D54" i="13"/>
  <c r="F46" i="13"/>
  <c r="G30" i="12"/>
  <c r="F48" i="12"/>
  <c r="F49" i="12"/>
  <c r="F45" i="12"/>
  <c r="F44" i="12"/>
  <c r="J49" i="12"/>
  <c r="J48" i="12"/>
  <c r="G44" i="12"/>
  <c r="G45" i="12"/>
  <c r="E48" i="12"/>
  <c r="E49" i="12"/>
  <c r="H40" i="12"/>
  <c r="H41" i="12"/>
  <c r="I28" i="12"/>
  <c r="H24" i="12"/>
  <c r="H25" i="12"/>
  <c r="I23" i="12"/>
  <c r="H18" i="12"/>
  <c r="G19" i="12"/>
  <c r="G20" i="12"/>
  <c r="H26" i="12"/>
  <c r="H29" i="12" s="1"/>
  <c r="G46" i="12"/>
  <c r="H19" i="11"/>
  <c r="G29" i="11"/>
  <c r="G31" i="11" s="1"/>
  <c r="H35" i="11"/>
  <c r="H36" i="11"/>
  <c r="F43" i="11"/>
  <c r="F44" i="11"/>
  <c r="F39" i="11"/>
  <c r="F40" i="11"/>
  <c r="E43" i="11"/>
  <c r="E45" i="11" s="1"/>
  <c r="E44" i="11"/>
  <c r="G37" i="11"/>
  <c r="H37" i="11" s="1"/>
  <c r="I28" i="11"/>
  <c r="H24" i="11"/>
  <c r="H25" i="11"/>
  <c r="I23" i="11"/>
  <c r="J18" i="11"/>
  <c r="I21" i="11"/>
  <c r="G41" i="11"/>
  <c r="I33" i="11"/>
  <c r="I16" i="11"/>
  <c r="I19" i="11" s="1"/>
  <c r="H26" i="11"/>
  <c r="H29" i="11" s="1"/>
  <c r="F18" i="10"/>
  <c r="C42" i="10"/>
  <c r="C41" i="10"/>
  <c r="C43" i="10" s="1"/>
  <c r="F29" i="10"/>
  <c r="F30" i="10"/>
  <c r="E34" i="10"/>
  <c r="E33" i="10"/>
  <c r="D38" i="10"/>
  <c r="D37" i="10"/>
  <c r="G14" i="10"/>
  <c r="F22" i="10"/>
  <c r="E24" i="10"/>
  <c r="E23" i="10"/>
  <c r="E25" i="10" s="1"/>
  <c r="H17" i="10"/>
  <c r="I12" i="10"/>
  <c r="G8" i="10"/>
  <c r="G9" i="10"/>
  <c r="H7" i="10"/>
  <c r="G15" i="10"/>
  <c r="G18" i="10" s="1"/>
  <c r="I5" i="10"/>
  <c r="H27" i="10"/>
  <c r="H10" i="10"/>
  <c r="H14" i="10" s="1"/>
  <c r="E35" i="10"/>
  <c r="F20" i="10"/>
  <c r="F31" i="10"/>
  <c r="D39" i="10"/>
  <c r="G27" i="10"/>
  <c r="G33" i="9"/>
  <c r="H29" i="9"/>
  <c r="G22" i="9"/>
  <c r="G24" i="9" s="1"/>
  <c r="G23" i="9"/>
  <c r="H21" i="9"/>
  <c r="H18" i="9"/>
  <c r="H17" i="9"/>
  <c r="H19" i="9"/>
  <c r="G34" i="9"/>
  <c r="H30" i="9"/>
  <c r="H32" i="9" s="1"/>
  <c r="G29" i="8"/>
  <c r="G30" i="8"/>
  <c r="F35" i="8"/>
  <c r="F34" i="8"/>
  <c r="F36" i="8" s="1"/>
  <c r="H24" i="8"/>
  <c r="G41" i="8"/>
  <c r="G40" i="8"/>
  <c r="F45" i="8"/>
  <c r="F44" i="8"/>
  <c r="D53" i="8"/>
  <c r="D52" i="8"/>
  <c r="D54" i="8" s="1"/>
  <c r="E48" i="8"/>
  <c r="E49" i="8"/>
  <c r="J33" i="8"/>
  <c r="J28" i="8"/>
  <c r="J23" i="8"/>
  <c r="I20" i="8"/>
  <c r="I19" i="8"/>
  <c r="F46" i="8"/>
  <c r="E50" i="8"/>
  <c r="H26" i="8"/>
  <c r="G31" i="8"/>
  <c r="G42" i="8"/>
  <c r="H38" i="8"/>
  <c r="J16" i="8"/>
  <c r="I25" i="8"/>
  <c r="I38" i="8"/>
  <c r="J54" i="12" l="1"/>
  <c r="I39" i="18"/>
  <c r="J37" i="18"/>
  <c r="I41" i="18"/>
  <c r="I40" i="18"/>
  <c r="J24" i="18"/>
  <c r="J25" i="18"/>
  <c r="J35" i="18"/>
  <c r="J36" i="18"/>
  <c r="J26" i="18"/>
  <c r="I29" i="18"/>
  <c r="I31" i="18" s="1"/>
  <c r="I30" i="18"/>
  <c r="E54" i="12"/>
  <c r="I24" i="8"/>
  <c r="G50" i="12"/>
  <c r="F52" i="12"/>
  <c r="F54" i="12" s="1"/>
  <c r="F53" i="12"/>
  <c r="G33" i="12"/>
  <c r="F35" i="12"/>
  <c r="F34" i="12"/>
  <c r="F36" i="12" s="1"/>
  <c r="H29" i="18"/>
  <c r="H31" i="18" s="1"/>
  <c r="H30" i="18"/>
  <c r="H39" i="18"/>
  <c r="H40" i="18"/>
  <c r="G43" i="18"/>
  <c r="G45" i="18" s="1"/>
  <c r="G44" i="18"/>
  <c r="H41" i="18"/>
  <c r="F45" i="11"/>
  <c r="H29" i="17"/>
  <c r="H28" i="17"/>
  <c r="G33" i="17"/>
  <c r="G32" i="17"/>
  <c r="G34" i="17" s="1"/>
  <c r="H18" i="17"/>
  <c r="H17" i="17"/>
  <c r="H24" i="17" s="1"/>
  <c r="F43" i="15"/>
  <c r="F44" i="15"/>
  <c r="I35" i="15"/>
  <c r="I36" i="15"/>
  <c r="G39" i="15"/>
  <c r="G40" i="15"/>
  <c r="H28" i="15"/>
  <c r="G30" i="15"/>
  <c r="G29" i="15"/>
  <c r="G31" i="15" s="1"/>
  <c r="I24" i="15"/>
  <c r="I25" i="15"/>
  <c r="J23" i="15"/>
  <c r="I19" i="15"/>
  <c r="I20" i="15"/>
  <c r="J18" i="15"/>
  <c r="J16" i="15"/>
  <c r="G41" i="15"/>
  <c r="I26" i="15"/>
  <c r="J21" i="15"/>
  <c r="F45" i="15"/>
  <c r="H37" i="15"/>
  <c r="J33" i="15"/>
  <c r="G44" i="13"/>
  <c r="G45" i="13"/>
  <c r="F48" i="13"/>
  <c r="F49" i="13"/>
  <c r="E52" i="13"/>
  <c r="E54" i="13" s="1"/>
  <c r="E53" i="13"/>
  <c r="G33" i="13"/>
  <c r="F35" i="13"/>
  <c r="F34" i="13"/>
  <c r="F36" i="13" s="1"/>
  <c r="H29" i="13"/>
  <c r="H30" i="13"/>
  <c r="I28" i="13"/>
  <c r="J23" i="13"/>
  <c r="I25" i="13"/>
  <c r="H19" i="13"/>
  <c r="I18" i="13"/>
  <c r="H20" i="13"/>
  <c r="J16" i="13"/>
  <c r="I38" i="13"/>
  <c r="I24" i="13"/>
  <c r="H42" i="13"/>
  <c r="H31" i="13"/>
  <c r="G46" i="13"/>
  <c r="F50" i="13"/>
  <c r="H30" i="12"/>
  <c r="H45" i="12"/>
  <c r="H44" i="12"/>
  <c r="G49" i="12"/>
  <c r="G48" i="12"/>
  <c r="I29" i="12"/>
  <c r="I30" i="12"/>
  <c r="J28" i="12"/>
  <c r="J30" i="12" s="1"/>
  <c r="I24" i="12"/>
  <c r="J23" i="12"/>
  <c r="I25" i="12"/>
  <c r="H19" i="12"/>
  <c r="H20" i="12"/>
  <c r="I18" i="12"/>
  <c r="H46" i="12"/>
  <c r="H30" i="11"/>
  <c r="I20" i="11"/>
  <c r="I35" i="11"/>
  <c r="I36" i="11"/>
  <c r="H40" i="11"/>
  <c r="H39" i="11"/>
  <c r="G43" i="11"/>
  <c r="G44" i="11"/>
  <c r="G39" i="11"/>
  <c r="G40" i="11"/>
  <c r="J28" i="11"/>
  <c r="I24" i="11"/>
  <c r="I25" i="11"/>
  <c r="J23" i="11"/>
  <c r="J21" i="11"/>
  <c r="H41" i="11"/>
  <c r="J33" i="11"/>
  <c r="I26" i="11"/>
  <c r="I29" i="11" s="1"/>
  <c r="H31" i="11"/>
  <c r="J16" i="11"/>
  <c r="J19" i="11" s="1"/>
  <c r="I37" i="11"/>
  <c r="H30" i="10"/>
  <c r="H29" i="10"/>
  <c r="H13" i="10"/>
  <c r="E37" i="10"/>
  <c r="E38" i="10"/>
  <c r="G29" i="10"/>
  <c r="G30" i="10"/>
  <c r="D41" i="10"/>
  <c r="D43" i="10" s="1"/>
  <c r="D42" i="10"/>
  <c r="F34" i="10"/>
  <c r="F33" i="10"/>
  <c r="G19" i="10"/>
  <c r="G22" i="10"/>
  <c r="F23" i="10"/>
  <c r="F25" i="10" s="1"/>
  <c r="F24" i="10"/>
  <c r="I17" i="10"/>
  <c r="H8" i="10"/>
  <c r="H9" i="10"/>
  <c r="I7" i="10"/>
  <c r="E39" i="10"/>
  <c r="I27" i="10"/>
  <c r="H31" i="10"/>
  <c r="G31" i="10"/>
  <c r="H15" i="10"/>
  <c r="H19" i="10" s="1"/>
  <c r="I10" i="10"/>
  <c r="I13" i="10" s="1"/>
  <c r="F35" i="10"/>
  <c r="G20" i="10"/>
  <c r="H33" i="9"/>
  <c r="H23" i="9"/>
  <c r="H22" i="9"/>
  <c r="H24" i="9" s="1"/>
  <c r="H34" i="9"/>
  <c r="H30" i="8"/>
  <c r="H29" i="8"/>
  <c r="G35" i="8"/>
  <c r="G34" i="8"/>
  <c r="G36" i="8" s="1"/>
  <c r="I41" i="8"/>
  <c r="I40" i="8"/>
  <c r="J19" i="8"/>
  <c r="J20" i="8"/>
  <c r="E52" i="8"/>
  <c r="E54" i="8" s="1"/>
  <c r="E53" i="8"/>
  <c r="F48" i="8"/>
  <c r="F49" i="8"/>
  <c r="H40" i="8"/>
  <c r="H41" i="8"/>
  <c r="G45" i="8"/>
  <c r="G44" i="8"/>
  <c r="J38" i="8"/>
  <c r="F50" i="8"/>
  <c r="H31" i="8"/>
  <c r="I26" i="8"/>
  <c r="J21" i="8"/>
  <c r="J25" i="8" s="1"/>
  <c r="G46" i="8"/>
  <c r="H42" i="8"/>
  <c r="J29" i="18" l="1"/>
  <c r="J31" i="18" s="1"/>
  <c r="J30" i="18"/>
  <c r="J41" i="18"/>
  <c r="I43" i="18"/>
  <c r="I45" i="18" s="1"/>
  <c r="I44" i="18"/>
  <c r="J39" i="18"/>
  <c r="J40" i="18"/>
  <c r="G53" i="12"/>
  <c r="G52" i="12"/>
  <c r="G54" i="12" s="1"/>
  <c r="H50" i="12"/>
  <c r="H33" i="12"/>
  <c r="G34" i="12"/>
  <c r="G36" i="12" s="1"/>
  <c r="G35" i="12"/>
  <c r="H43" i="18"/>
  <c r="H45" i="18" s="1"/>
  <c r="H44" i="18"/>
  <c r="J20" i="11"/>
  <c r="H33" i="17"/>
  <c r="H32" i="17"/>
  <c r="H34" i="17"/>
  <c r="H40" i="15"/>
  <c r="H39" i="15"/>
  <c r="J35" i="15"/>
  <c r="J36" i="15"/>
  <c r="G43" i="15"/>
  <c r="G45" i="15" s="1"/>
  <c r="G44" i="15"/>
  <c r="H29" i="15"/>
  <c r="H31" i="15" s="1"/>
  <c r="I28" i="15"/>
  <c r="H30" i="15"/>
  <c r="J25" i="15"/>
  <c r="J24" i="15"/>
  <c r="J20" i="15"/>
  <c r="J19" i="15"/>
  <c r="H41" i="15"/>
  <c r="J26" i="15"/>
  <c r="I37" i="15"/>
  <c r="I41" i="13"/>
  <c r="I40" i="13"/>
  <c r="G48" i="13"/>
  <c r="G49" i="13"/>
  <c r="H44" i="13"/>
  <c r="H45" i="13"/>
  <c r="F52" i="13"/>
  <c r="F54" i="13" s="1"/>
  <c r="F53" i="13"/>
  <c r="H33" i="13"/>
  <c r="G34" i="13"/>
  <c r="G36" i="13" s="1"/>
  <c r="G35" i="13"/>
  <c r="J28" i="13"/>
  <c r="I19" i="13"/>
  <c r="J18" i="13"/>
  <c r="I20" i="13"/>
  <c r="I26" i="13"/>
  <c r="I29" i="13" s="1"/>
  <c r="J21" i="13"/>
  <c r="J24" i="13" s="1"/>
  <c r="G50" i="13"/>
  <c r="H46" i="13"/>
  <c r="J38" i="13"/>
  <c r="H49" i="12"/>
  <c r="H48" i="12"/>
  <c r="J29" i="12"/>
  <c r="J25" i="12"/>
  <c r="J24" i="12"/>
  <c r="I19" i="12"/>
  <c r="I20" i="12"/>
  <c r="J18" i="12"/>
  <c r="G45" i="11"/>
  <c r="I30" i="11"/>
  <c r="I39" i="11"/>
  <c r="I40" i="11"/>
  <c r="H43" i="11"/>
  <c r="H45" i="11" s="1"/>
  <c r="H44" i="11"/>
  <c r="J35" i="11"/>
  <c r="J36" i="11"/>
  <c r="J25" i="11"/>
  <c r="J24" i="11"/>
  <c r="I41" i="11"/>
  <c r="I31" i="11"/>
  <c r="J26" i="11"/>
  <c r="J29" i="11" s="1"/>
  <c r="J37" i="11"/>
  <c r="F37" i="10"/>
  <c r="F38" i="10"/>
  <c r="G33" i="10"/>
  <c r="G34" i="10"/>
  <c r="I29" i="10"/>
  <c r="I30" i="10"/>
  <c r="H33" i="10"/>
  <c r="H34" i="10"/>
  <c r="E41" i="10"/>
  <c r="E43" i="10" s="1"/>
  <c r="E42" i="10"/>
  <c r="I14" i="10"/>
  <c r="H18" i="10"/>
  <c r="G23" i="10"/>
  <c r="G25" i="10" s="1"/>
  <c r="G24" i="10"/>
  <c r="H22" i="10"/>
  <c r="I9" i="10"/>
  <c r="I8" i="10"/>
  <c r="H20" i="10"/>
  <c r="I15" i="10"/>
  <c r="I18" i="10" s="1"/>
  <c r="G35" i="10"/>
  <c r="F39" i="10"/>
  <c r="H35" i="10"/>
  <c r="I31" i="10"/>
  <c r="I29" i="8"/>
  <c r="I30" i="8"/>
  <c r="H35" i="8"/>
  <c r="H34" i="8"/>
  <c r="J24" i="8"/>
  <c r="H45" i="8"/>
  <c r="H44" i="8"/>
  <c r="I45" i="8"/>
  <c r="I44" i="8"/>
  <c r="G48" i="8"/>
  <c r="G49" i="8"/>
  <c r="J41" i="8"/>
  <c r="J40" i="8"/>
  <c r="F52" i="8"/>
  <c r="F53" i="8"/>
  <c r="F54" i="8"/>
  <c r="G50" i="8"/>
  <c r="I46" i="8"/>
  <c r="J42" i="8"/>
  <c r="H46" i="8"/>
  <c r="I31" i="8"/>
  <c r="J26" i="8"/>
  <c r="H36" i="8"/>
  <c r="J44" i="18" l="1"/>
  <c r="J43" i="18"/>
  <c r="J45" i="18" s="1"/>
  <c r="J25" i="13"/>
  <c r="I30" i="13"/>
  <c r="I19" i="10"/>
  <c r="H52" i="12"/>
  <c r="H54" i="12" s="1"/>
  <c r="H53" i="12"/>
  <c r="I33" i="12"/>
  <c r="H34" i="12"/>
  <c r="H36" i="12" s="1"/>
  <c r="H35" i="12"/>
  <c r="H43" i="15"/>
  <c r="H45" i="15" s="1"/>
  <c r="H44" i="15"/>
  <c r="I39" i="15"/>
  <c r="I40" i="15"/>
  <c r="I29" i="15"/>
  <c r="I31" i="15" s="1"/>
  <c r="J28" i="15"/>
  <c r="I30" i="15"/>
  <c r="I41" i="15"/>
  <c r="J37" i="15"/>
  <c r="I44" i="13"/>
  <c r="I45" i="13"/>
  <c r="J40" i="13"/>
  <c r="J41" i="13"/>
  <c r="H49" i="13"/>
  <c r="H48" i="13"/>
  <c r="G52" i="13"/>
  <c r="G54" i="13" s="1"/>
  <c r="G53" i="13"/>
  <c r="H34" i="13"/>
  <c r="H36" i="13" s="1"/>
  <c r="I33" i="13"/>
  <c r="H35" i="13"/>
  <c r="J30" i="13"/>
  <c r="J29" i="13"/>
  <c r="J20" i="13"/>
  <c r="J19" i="13"/>
  <c r="I46" i="13"/>
  <c r="J26" i="13"/>
  <c r="I31" i="13"/>
  <c r="H50" i="13"/>
  <c r="J20" i="12"/>
  <c r="J19" i="12"/>
  <c r="J30" i="11"/>
  <c r="I43" i="11"/>
  <c r="I45" i="11" s="1"/>
  <c r="I44" i="11"/>
  <c r="J39" i="11"/>
  <c r="J40" i="11"/>
  <c r="J31" i="11"/>
  <c r="J41" i="11"/>
  <c r="F41" i="10"/>
  <c r="F43" i="10" s="1"/>
  <c r="F42" i="10"/>
  <c r="G38" i="10"/>
  <c r="G37" i="10"/>
  <c r="I33" i="10"/>
  <c r="I34" i="10"/>
  <c r="H38" i="10"/>
  <c r="H37" i="10"/>
  <c r="H23" i="10"/>
  <c r="H25" i="10" s="1"/>
  <c r="H24" i="10"/>
  <c r="I22" i="10"/>
  <c r="I20" i="10"/>
  <c r="G39" i="10"/>
  <c r="I35" i="10"/>
  <c r="H39" i="10"/>
  <c r="I34" i="8"/>
  <c r="I35" i="8"/>
  <c r="J30" i="8"/>
  <c r="J29" i="8"/>
  <c r="H49" i="8"/>
  <c r="H48" i="8"/>
  <c r="G52" i="8"/>
  <c r="G53" i="8"/>
  <c r="J44" i="8"/>
  <c r="J45" i="8"/>
  <c r="I48" i="8"/>
  <c r="I49" i="8"/>
  <c r="I50" i="8"/>
  <c r="J46" i="8"/>
  <c r="G54" i="8"/>
  <c r="H50" i="8"/>
  <c r="I36" i="8"/>
  <c r="J31" i="8"/>
  <c r="J33" i="12" l="1"/>
  <c r="I34" i="12"/>
  <c r="I36" i="12" s="1"/>
  <c r="I35" i="12"/>
  <c r="I43" i="15"/>
  <c r="I45" i="15" s="1"/>
  <c r="I44" i="15"/>
  <c r="J39" i="15"/>
  <c r="J40" i="15"/>
  <c r="J30" i="15"/>
  <c r="J29" i="15"/>
  <c r="J31" i="15" s="1"/>
  <c r="J41" i="15"/>
  <c r="H52" i="13"/>
  <c r="H53" i="13"/>
  <c r="I48" i="13"/>
  <c r="I49" i="13"/>
  <c r="J44" i="13"/>
  <c r="J45" i="13"/>
  <c r="I34" i="13"/>
  <c r="I36" i="13" s="1"/>
  <c r="I35" i="13"/>
  <c r="J33" i="13"/>
  <c r="J31" i="13"/>
  <c r="H54" i="13"/>
  <c r="J46" i="13"/>
  <c r="I50" i="13"/>
  <c r="J44" i="11"/>
  <c r="J43" i="11"/>
  <c r="J45" i="11"/>
  <c r="I38" i="10"/>
  <c r="I37" i="10"/>
  <c r="G41" i="10"/>
  <c r="G43" i="10" s="1"/>
  <c r="G42" i="10"/>
  <c r="H41" i="10"/>
  <c r="H43" i="10" s="1"/>
  <c r="H42" i="10"/>
  <c r="I24" i="10"/>
  <c r="I23" i="10"/>
  <c r="I25" i="10" s="1"/>
  <c r="I39" i="10"/>
  <c r="J35" i="8"/>
  <c r="J34" i="8"/>
  <c r="J36" i="8" s="1"/>
  <c r="J48" i="8"/>
  <c r="J49" i="8"/>
  <c r="H52" i="8"/>
  <c r="H54" i="8" s="1"/>
  <c r="H53" i="8"/>
  <c r="I52" i="8"/>
  <c r="I54" i="8" s="1"/>
  <c r="I53" i="8"/>
  <c r="J50" i="8"/>
  <c r="J35" i="12" l="1"/>
  <c r="J34" i="12"/>
  <c r="J36" i="12" s="1"/>
  <c r="J44" i="15"/>
  <c r="J43" i="15"/>
  <c r="J45" i="15"/>
  <c r="J48" i="13"/>
  <c r="J49" i="13"/>
  <c r="I52" i="13"/>
  <c r="I54" i="13" s="1"/>
  <c r="I53" i="13"/>
  <c r="J35" i="13"/>
  <c r="J34" i="13"/>
  <c r="J36" i="13" s="1"/>
  <c r="J50" i="13"/>
  <c r="I42" i="10"/>
  <c r="I41" i="10"/>
  <c r="I43" i="10" s="1"/>
  <c r="J53" i="8"/>
  <c r="J52" i="8"/>
  <c r="J54" i="8" s="1"/>
  <c r="J53" i="13" l="1"/>
  <c r="J52" i="13"/>
  <c r="J54" i="13"/>
  <c r="D18" i="7" l="1"/>
  <c r="D17" i="7"/>
  <c r="D42" i="7" l="1"/>
  <c r="C42" i="7"/>
  <c r="E42" i="7"/>
  <c r="F42" i="7"/>
  <c r="G42" i="7"/>
  <c r="H42" i="7"/>
  <c r="B42" i="7"/>
  <c r="D21" i="7"/>
  <c r="E21" i="7" s="1"/>
  <c r="F21" i="7" s="1"/>
  <c r="G21" i="7" s="1"/>
  <c r="H21" i="7" s="1"/>
  <c r="I21" i="7" s="1"/>
  <c r="E16" i="7"/>
  <c r="F16" i="7" s="1"/>
  <c r="G16" i="7" s="1"/>
  <c r="H16" i="7" s="1"/>
  <c r="I16" i="7" s="1"/>
  <c r="D20" i="2"/>
  <c r="D19" i="2"/>
  <c r="D33" i="2"/>
  <c r="D28" i="2"/>
  <c r="E28" i="2" s="1"/>
  <c r="F28" i="2" s="1"/>
  <c r="G28" i="2" s="1"/>
  <c r="H28" i="2" s="1"/>
  <c r="I28" i="2" s="1"/>
  <c r="D23" i="2"/>
  <c r="E23" i="2" s="1"/>
  <c r="F23" i="2" s="1"/>
  <c r="G23" i="2" s="1"/>
  <c r="H23" i="2" s="1"/>
  <c r="I23" i="2" s="1"/>
  <c r="E33" i="2"/>
  <c r="F33" i="2" s="1"/>
  <c r="G33" i="2" s="1"/>
  <c r="H33" i="2" s="1"/>
  <c r="I33" i="2" s="1"/>
  <c r="E18" i="2"/>
  <c r="F18" i="2" s="1"/>
  <c r="G18" i="2" s="1"/>
  <c r="H18" i="2" s="1"/>
  <c r="I18" i="2" s="1"/>
  <c r="H63" i="2" l="1"/>
  <c r="C62" i="2"/>
  <c r="E62" i="2"/>
  <c r="F62" i="2"/>
  <c r="G62" i="2"/>
  <c r="B62" i="2"/>
  <c r="I43" i="2"/>
  <c r="I47" i="2" s="1"/>
  <c r="I22" i="2"/>
  <c r="I27" i="2" s="1"/>
  <c r="H62" i="2" l="1"/>
  <c r="I51" i="2"/>
  <c r="I32" i="2"/>
  <c r="I31" i="7" l="1"/>
  <c r="I20" i="7"/>
  <c r="H31" i="7"/>
  <c r="G31" i="7"/>
  <c r="F31" i="7"/>
  <c r="E31" i="7"/>
  <c r="D31" i="7"/>
  <c r="D26" i="7"/>
  <c r="H20" i="7"/>
  <c r="G20" i="7"/>
  <c r="F20" i="7"/>
  <c r="E20" i="7"/>
  <c r="D20" i="7"/>
  <c r="E14" i="7"/>
  <c r="D28" i="7" l="1"/>
  <c r="D29" i="7"/>
  <c r="D23" i="7"/>
  <c r="D22" i="7"/>
  <c r="D24" i="7" s="1"/>
  <c r="E18" i="7"/>
  <c r="E17" i="7"/>
  <c r="I43" i="7"/>
  <c r="I42" i="7"/>
  <c r="F14" i="7"/>
  <c r="E19" i="7"/>
  <c r="E26" i="7"/>
  <c r="E28" i="7" l="1"/>
  <c r="E29" i="7"/>
  <c r="D32" i="7"/>
  <c r="D34" i="7" s="1"/>
  <c r="D33" i="7"/>
  <c r="E22" i="7"/>
  <c r="E24" i="7" s="1"/>
  <c r="E23" i="7"/>
  <c r="F17" i="7"/>
  <c r="F18" i="7"/>
  <c r="G14" i="7"/>
  <c r="E30" i="7"/>
  <c r="F26" i="7"/>
  <c r="F19" i="7"/>
  <c r="F28" i="7" l="1"/>
  <c r="F29" i="7"/>
  <c r="E32" i="7"/>
  <c r="E34" i="7" s="1"/>
  <c r="E33" i="7"/>
  <c r="G17" i="7"/>
  <c r="G18" i="7"/>
  <c r="F22" i="7"/>
  <c r="F24" i="7" s="1"/>
  <c r="F23" i="7"/>
  <c r="F30" i="7"/>
  <c r="G19" i="7"/>
  <c r="G26" i="7"/>
  <c r="H14" i="7"/>
  <c r="G28" i="7" l="1"/>
  <c r="G29" i="7"/>
  <c r="F32" i="7"/>
  <c r="F34" i="7" s="1"/>
  <c r="F33" i="7"/>
  <c r="H17" i="7"/>
  <c r="H18" i="7"/>
  <c r="G22" i="7"/>
  <c r="G24" i="7" s="1"/>
  <c r="G23" i="7"/>
  <c r="I14" i="7"/>
  <c r="I17" i="7" s="1"/>
  <c r="G30" i="7"/>
  <c r="H19" i="7"/>
  <c r="H26" i="7"/>
  <c r="H28" i="7" l="1"/>
  <c r="H29" i="7"/>
  <c r="G32" i="7"/>
  <c r="G33" i="7"/>
  <c r="I18" i="7"/>
  <c r="H23" i="7"/>
  <c r="H22" i="7"/>
  <c r="H24" i="7" s="1"/>
  <c r="I26" i="7"/>
  <c r="I19" i="7"/>
  <c r="H30" i="7"/>
  <c r="G34" i="7"/>
  <c r="I28" i="7" l="1"/>
  <c r="I29" i="7"/>
  <c r="I30" i="7"/>
  <c r="H32" i="7"/>
  <c r="H34" i="7" s="1"/>
  <c r="H33" i="7"/>
  <c r="I23" i="7"/>
  <c r="I22" i="7"/>
  <c r="I24" i="7" s="1"/>
  <c r="I32" i="7" l="1"/>
  <c r="I34" i="7" s="1"/>
  <c r="I33" i="7"/>
  <c r="D38" i="2"/>
  <c r="H22" i="2"/>
  <c r="H27" i="2" s="1"/>
  <c r="H32" i="2" s="1"/>
  <c r="H43" i="2" s="1"/>
  <c r="H47" i="2" s="1"/>
  <c r="H51" i="2" s="1"/>
  <c r="G22" i="2"/>
  <c r="G27" i="2" s="1"/>
  <c r="G32" i="2" s="1"/>
  <c r="G43" i="2" s="1"/>
  <c r="G47" i="2" s="1"/>
  <c r="G51" i="2" s="1"/>
  <c r="F22" i="2"/>
  <c r="F27" i="2" s="1"/>
  <c r="F32" i="2" s="1"/>
  <c r="F43" i="2" s="1"/>
  <c r="F47" i="2" s="1"/>
  <c r="F51" i="2" s="1"/>
  <c r="E22" i="2"/>
  <c r="E27" i="2" s="1"/>
  <c r="E32" i="2" s="1"/>
  <c r="E43" i="2" s="1"/>
  <c r="E47" i="2" s="1"/>
  <c r="E51" i="2" s="1"/>
  <c r="D22" i="2"/>
  <c r="D27" i="2" s="1"/>
  <c r="D32" i="2" s="1"/>
  <c r="D43" i="2" s="1"/>
  <c r="D47" i="2" s="1"/>
  <c r="D51" i="2" s="1"/>
  <c r="E16" i="2"/>
  <c r="D41" i="2" l="1"/>
  <c r="D40" i="2"/>
  <c r="E20" i="2"/>
  <c r="E19" i="2"/>
  <c r="D24" i="2"/>
  <c r="D25" i="2"/>
  <c r="F16" i="2"/>
  <c r="E21" i="2"/>
  <c r="D26" i="2"/>
  <c r="E38" i="2"/>
  <c r="E41" i="2" l="1"/>
  <c r="E40" i="2"/>
  <c r="E42" i="2"/>
  <c r="F42" i="2" s="1"/>
  <c r="D45" i="2"/>
  <c r="D44" i="2"/>
  <c r="F19" i="2"/>
  <c r="F20" i="2"/>
  <c r="D30" i="2"/>
  <c r="D29" i="2"/>
  <c r="E24" i="2"/>
  <c r="E25" i="2"/>
  <c r="G16" i="2"/>
  <c r="D46" i="2"/>
  <c r="F38" i="2"/>
  <c r="E26" i="2"/>
  <c r="D31" i="2"/>
  <c r="F21" i="2"/>
  <c r="F45" i="2" l="1"/>
  <c r="F44" i="2"/>
  <c r="D49" i="2"/>
  <c r="D48" i="2"/>
  <c r="F41" i="2"/>
  <c r="F40" i="2"/>
  <c r="E45" i="2"/>
  <c r="E44" i="2"/>
  <c r="E30" i="2"/>
  <c r="E29" i="2"/>
  <c r="F24" i="2"/>
  <c r="F25" i="2"/>
  <c r="D34" i="2"/>
  <c r="D35" i="2"/>
  <c r="H16" i="2"/>
  <c r="G20" i="2"/>
  <c r="G19" i="2"/>
  <c r="D50" i="2"/>
  <c r="E46" i="2"/>
  <c r="G42" i="2"/>
  <c r="G21" i="2"/>
  <c r="F26" i="2"/>
  <c r="G38" i="2"/>
  <c r="E31" i="2"/>
  <c r="G41" i="2" l="1"/>
  <c r="G40" i="2"/>
  <c r="E48" i="2"/>
  <c r="E49" i="2"/>
  <c r="G45" i="2"/>
  <c r="G44" i="2"/>
  <c r="E50" i="2"/>
  <c r="D53" i="2"/>
  <c r="D52" i="2"/>
  <c r="I16" i="2"/>
  <c r="H19" i="2"/>
  <c r="H20" i="2"/>
  <c r="E35" i="2"/>
  <c r="E34" i="2"/>
  <c r="F29" i="2"/>
  <c r="F30" i="2"/>
  <c r="G24" i="2"/>
  <c r="G25" i="2"/>
  <c r="D54" i="2"/>
  <c r="F46" i="2"/>
  <c r="D36" i="2"/>
  <c r="F31" i="2"/>
  <c r="G46" i="2"/>
  <c r="H42" i="2"/>
  <c r="H38" i="2"/>
  <c r="G26" i="2"/>
  <c r="H21" i="2"/>
  <c r="I42" i="2" l="1"/>
  <c r="H44" i="2"/>
  <c r="H45" i="2"/>
  <c r="G49" i="2"/>
  <c r="G48" i="2"/>
  <c r="E53" i="2"/>
  <c r="E52" i="2"/>
  <c r="E54" i="2" s="1"/>
  <c r="I38" i="2"/>
  <c r="H40" i="2"/>
  <c r="H41" i="2"/>
  <c r="F48" i="2"/>
  <c r="F49" i="2"/>
  <c r="F50" i="2"/>
  <c r="F34" i="2"/>
  <c r="F35" i="2"/>
  <c r="G29" i="2"/>
  <c r="G30" i="2"/>
  <c r="I21" i="2"/>
  <c r="H25" i="2"/>
  <c r="H24" i="2"/>
  <c r="I20" i="2"/>
  <c r="I19" i="2"/>
  <c r="E36" i="2"/>
  <c r="H26" i="2"/>
  <c r="H46" i="2"/>
  <c r="G31" i="2"/>
  <c r="F53" i="2" l="1"/>
  <c r="F52" i="2"/>
  <c r="G50" i="2"/>
  <c r="H50" i="2" s="1"/>
  <c r="I40" i="2"/>
  <c r="I41" i="2"/>
  <c r="I46" i="2"/>
  <c r="H49" i="2"/>
  <c r="H48" i="2"/>
  <c r="I44" i="2"/>
  <c r="I45" i="2"/>
  <c r="I25" i="2"/>
  <c r="I24" i="2"/>
  <c r="I26" i="2"/>
  <c r="H30" i="2"/>
  <c r="H29" i="2"/>
  <c r="G34" i="2"/>
  <c r="G35" i="2"/>
  <c r="F36" i="2"/>
  <c r="H31" i="2"/>
  <c r="F54" i="2"/>
  <c r="G52" i="2" l="1"/>
  <c r="G53" i="2"/>
  <c r="I49" i="2"/>
  <c r="I48" i="2"/>
  <c r="I50" i="2"/>
  <c r="H52" i="2"/>
  <c r="H53" i="2"/>
  <c r="I31" i="2"/>
  <c r="I34" i="2" s="1"/>
  <c r="H35" i="2"/>
  <c r="H34" i="2"/>
  <c r="I30" i="2"/>
  <c r="I29" i="2"/>
  <c r="G54" i="2"/>
  <c r="G36" i="2"/>
  <c r="I53" i="2" l="1"/>
  <c r="I52" i="2"/>
  <c r="I54" i="2" s="1"/>
  <c r="I35" i="2"/>
  <c r="I36" i="2"/>
  <c r="H54" i="2"/>
  <c r="H36" i="2"/>
</calcChain>
</file>

<file path=xl/sharedStrings.xml><?xml version="1.0" encoding="utf-8"?>
<sst xmlns="http://schemas.openxmlformats.org/spreadsheetml/2006/main" count="958" uniqueCount="105">
  <si>
    <t>All India Candidates</t>
  </si>
  <si>
    <t>Year/Payment Options</t>
  </si>
  <si>
    <t>Heads</t>
  </si>
  <si>
    <t>Graduation % &gt;=95 or CAT/XAT %ile &gt;=85.01  or MAT/CMAT %ile &gt;=99</t>
  </si>
  <si>
    <t>Graduation % &gt;=90 and  &lt;95 or CAT/XAT %ile 80.01 - 85.00  or MAT/CMAT %ile 95.01 - 99</t>
  </si>
  <si>
    <t>Graduation % &gt;=85 and  &lt;90 or CAT/XAT %ile 75.01 - 80.00  or MAT/CMAT %ile 93.01 - 95</t>
  </si>
  <si>
    <t>Graduation % &gt;=80 and &lt;85 or CAT/XAT %ile 70.01 - 75  or MAT/CMAT %ile 90.01 - 93</t>
  </si>
  <si>
    <t>Graduation % &gt;=75 and &lt;80 or CAT/XAT %ile 65.01 - 70.00  or MAT/CMAT %ile 85 - 90</t>
  </si>
  <si>
    <t>Graduation % &gt;=70 and &lt;75 or CAT/XAT %ile 60 - 65.00</t>
  </si>
  <si>
    <t>10% Additional Scholarship on Net Tuition Fee for Girls Candidates</t>
  </si>
  <si>
    <t>Tuition Fee Per Semester</t>
  </si>
  <si>
    <t xml:space="preserve">Scholarship </t>
  </si>
  <si>
    <t>Tuition Fee per sem</t>
  </si>
  <si>
    <t>Total Fee (Per Year Installment)</t>
  </si>
  <si>
    <t>Uttarakhand/State Candidates</t>
  </si>
  <si>
    <t>Tuition Fee Per Semester (Inclusive of State Concession**)</t>
  </si>
  <si>
    <t>The below mentioned charges are the same for All India Candidates and State Candidates</t>
  </si>
  <si>
    <t>One Time Payable</t>
  </si>
  <si>
    <t>Admission Fee</t>
  </si>
  <si>
    <t>Enrolment Fee</t>
  </si>
  <si>
    <t>Caution Money (Refundable)</t>
  </si>
  <si>
    <t xml:space="preserve">Other Charges </t>
  </si>
  <si>
    <t>Examination Fee</t>
  </si>
  <si>
    <t>Library Fee</t>
  </si>
  <si>
    <t>Insurance Fee (per year)</t>
  </si>
  <si>
    <t>Students Welfare Fee</t>
  </si>
  <si>
    <t>Sport Fee</t>
  </si>
  <si>
    <t>Online Student Information</t>
  </si>
  <si>
    <t>PDP</t>
  </si>
  <si>
    <t xml:space="preserve">Total </t>
  </si>
  <si>
    <t xml:space="preserve">Yearly Payment </t>
  </si>
  <si>
    <t xml:space="preserve">Half Yearly Payment </t>
  </si>
  <si>
    <t>Scholarship for Wards of Defence personnel: 5%</t>
  </si>
  <si>
    <t>(12th PCM %)
&gt;=95 OR JEE Mains Percentile &gt;=99</t>
  </si>
  <si>
    <t>(12th  PCM %)
&gt;=90
&lt;95 OR JEE Mains Percentile &gt;=98.5&lt;99</t>
  </si>
  <si>
    <t>(12th  PCM %)
&gt;=85
&lt;90 OR JEE Mains Percentile &gt;=97&lt;98.5</t>
  </si>
  <si>
    <t>(12th  PCM %)
&gt;=80
&lt;85 OR JEE Mains Percentile &gt;=94&lt;97</t>
  </si>
  <si>
    <t>(12th  PCM %) &gt;=75
&lt;80 OR JEE Mains Percentile &lt;94</t>
  </si>
  <si>
    <r>
      <t>1</t>
    </r>
    <r>
      <rPr>
        <b/>
        <vertAlign val="superscript"/>
        <sz val="9"/>
        <color theme="1"/>
        <rFont val="Roboto"/>
      </rPr>
      <t>st</t>
    </r>
    <r>
      <rPr>
        <b/>
        <sz val="9"/>
        <color theme="1"/>
        <rFont val="Roboto"/>
      </rPr>
      <t xml:space="preserve"> Year
Payment Options</t>
    </r>
  </si>
  <si>
    <r>
      <t>2</t>
    </r>
    <r>
      <rPr>
        <b/>
        <vertAlign val="superscript"/>
        <sz val="9"/>
        <color theme="1"/>
        <rFont val="Roboto"/>
      </rPr>
      <t>nd</t>
    </r>
    <r>
      <rPr>
        <b/>
        <sz val="9"/>
        <color theme="1"/>
        <rFont val="Roboto"/>
      </rPr>
      <t xml:space="preserve"> Year
Payment Options</t>
    </r>
  </si>
  <si>
    <r>
      <t>3</t>
    </r>
    <r>
      <rPr>
        <b/>
        <vertAlign val="superscript"/>
        <sz val="9"/>
        <color theme="1"/>
        <rFont val="Roboto"/>
      </rPr>
      <t>rd</t>
    </r>
    <r>
      <rPr>
        <b/>
        <sz val="9"/>
        <color theme="1"/>
        <rFont val="Roboto"/>
      </rPr>
      <t xml:space="preserve"> Year
Payment Options</t>
    </r>
  </si>
  <si>
    <r>
      <t>4</t>
    </r>
    <r>
      <rPr>
        <b/>
        <vertAlign val="superscript"/>
        <sz val="9"/>
        <color theme="1"/>
        <rFont val="Roboto"/>
      </rPr>
      <t>th</t>
    </r>
    <r>
      <rPr>
        <b/>
        <sz val="9"/>
        <color theme="1"/>
        <rFont val="Roboto"/>
      </rPr>
      <t xml:space="preserve"> Year
Payment Options</t>
    </r>
  </si>
  <si>
    <t>(12th  PCM %) &gt;=70
&lt;75 OR JEE Mains Percentile &lt;94</t>
  </si>
  <si>
    <t>*State Concession is a Special Fee Concession applicable to candidates from the Hilly States of India on the basis of merit. A student carrying a domicile from these states/or who has completed his 10th &amp; 12th from these states is eligible for this consession - the states included in this list are: Uttarakhand, Himachal Pradesh, Jammu Kashmir, Sikkim, Arunachal Pradesh, Manipur, Assam, Meghalaya, Mizoram, Tripura and Arunachal Pradesh.</t>
  </si>
  <si>
    <r>
      <t>Diversity Scholarship</t>
    </r>
    <r>
      <rPr>
        <b/>
        <vertAlign val="superscript"/>
        <sz val="9"/>
        <color theme="1"/>
        <rFont val="Roboto"/>
      </rPr>
      <t>#</t>
    </r>
  </si>
  <si>
    <t>#10% seats of All India quota are reserved for diversity scholarship having  70% and above in 12th</t>
  </si>
  <si>
    <t>*50% seats are reserved for Uttarakhand candidates, state concession on tuition fee will be applicable on these 50% seats only.</t>
  </si>
  <si>
    <t>Yearly Payment  (5% Discount)</t>
  </si>
  <si>
    <t>Half Yearly Payment</t>
  </si>
  <si>
    <t>(12th  PCM %)
&gt;=75
&lt;80 OR JEE Mains Percentile &gt;=90&lt;94</t>
  </si>
  <si>
    <t>( 12th PCM %)
&gt;=70&lt;75 OR JEE Mains Percentile &gt;=85&lt;90</t>
  </si>
  <si>
    <t>(12th PCM %)
&gt;=65 &amp; &lt;70</t>
  </si>
  <si>
    <t>Graduation % &gt;=80</t>
  </si>
  <si>
    <t>Graduation % &gt;=75 and  &lt;80</t>
  </si>
  <si>
    <t>Graduation % &gt;=70 and  &lt;75</t>
  </si>
  <si>
    <t>Graduation % &gt;=70 and &lt;65</t>
  </si>
  <si>
    <t>Graduation % &gt;=60 and &lt;65</t>
  </si>
  <si>
    <t>(12th PCB %) &gt;=95</t>
  </si>
  <si>
    <t>(12th  PCB %)
&gt;=90 &amp;
&lt;95</t>
  </si>
  <si>
    <t>(12th  PCB %)
&gt;=85 &amp;
&lt;90</t>
  </si>
  <si>
    <t>(12th  PCB %)
&gt;=80 &amp;
&lt;85</t>
  </si>
  <si>
    <t xml:space="preserve">(12th  PCB %)
&gt;= 75 &amp; &lt;80 </t>
  </si>
  <si>
    <t xml:space="preserve">(12th  PCB %)
&gt;=70&lt;75 </t>
  </si>
  <si>
    <t>(12th PCB %)
&gt;=65 &amp; &lt;70</t>
  </si>
  <si>
    <t>(12th Agg. %) &gt;=95</t>
  </si>
  <si>
    <t>(12th  Agg. %) &gt;=90 and &lt;95</t>
  </si>
  <si>
    <t>(12th  Agg. %) &gt;=85 and &lt;90</t>
  </si>
  <si>
    <t>(12th  Agg. %) &gt;=80 and &lt;85</t>
  </si>
  <si>
    <t>(12th Agg. %) &gt;=75 and &lt;80</t>
  </si>
  <si>
    <t>(12th Agg. %)&gt;=70 &amp; &lt;75</t>
  </si>
  <si>
    <t>(12th Agg. %)&gt;=65 &amp; &lt;70</t>
  </si>
  <si>
    <t>* An additional fee of Rs. 10000/- per sem is applicable per semester from 3rd semester onwards.</t>
  </si>
  <si>
    <t>* An additional fee of Rs. 22000/- is applicable per semester from 1st semester onwards for ACCA.</t>
  </si>
  <si>
    <t xml:space="preserve">Department of Computer Science:
Fee Structure Applicable for : Batch 2025-2029
B.Tech Computer Science &amp; Engineering
Specializations: 
B.Tech Computer Science &amp; Engineering and specialisations
</t>
  </si>
  <si>
    <t>Fee Structure Applicable for : Batch 2025 - 2029
School of Engineering &amp; Technology 
Fee Structure B.Tech ME /
B.Tech (Hons.)* ME with Robotics and Automation / B.Tech Civil Engineering / B.Tech ECE</t>
  </si>
  <si>
    <t>Fee Structure Applicable for : Batch 2025-2029
School of Pharmacy
Fee Structure
B.Pharma (Bachelor of Pharmacy)</t>
  </si>
  <si>
    <t>Department of Computer Applications:
Fee Structure Applicable for : Batch 2025-2028
BCA (AI &amp; DS)</t>
  </si>
  <si>
    <t>Department of Computer Applications:
Fee Structure Applicable for : Batch 2025-2028
BCA / BCA Industry Integrated* / BSc IT / BSc IT Industry Integrated* / BSc CS</t>
  </si>
  <si>
    <t>Department of Computer Applications:
Fee Structure Applicable for : Batch 2025-2027
MCA</t>
  </si>
  <si>
    <t>Department of Management:
Fee Structure Applicable for : Batch 2025-2027
MBA</t>
  </si>
  <si>
    <t>#Diversity scholarship for candidates having 60% - 64.99% in 12th will be Rs. 9000 per sem</t>
  </si>
  <si>
    <t>Rs. 5000/- sem for first 2 semesters is applicable for bridge course</t>
  </si>
  <si>
    <t>Department of Commerce :
Fee Structure Applicable for : Batch 2025-2029
B.Com. (H) with Research</t>
  </si>
  <si>
    <t>Department of Commerce :
Fee Structure Applicable for : Batch 2025-2028
B.Com. (H) || B.Com. (H) ACCA* || B.Com. (H) Banking and Finance || B.Com. (H) Accounting, Auditing and Taxation</t>
  </si>
  <si>
    <t>Department of Management :
Fee Structure Applicable for : Batch 2025-2028
BBA (H)</t>
  </si>
  <si>
    <t>Department of Management :
Fee Structure Applicable for : Batch 2025-2029
BBA (Hons.) with Research</t>
  </si>
  <si>
    <t>School of Engineering &amp; Technology 
Fee Structure: Batch 2025-2027
M.Tech (ME, Electric Vehicle)</t>
  </si>
  <si>
    <t xml:space="preserve">Sem </t>
  </si>
  <si>
    <t>Tuition Fee Per Semester
(Inclusive of State Concession**)</t>
  </si>
  <si>
    <t>2nd Year
Payment Options</t>
  </si>
  <si>
    <t xml:space="preserve"> 3rd Year
Payment Options</t>
  </si>
  <si>
    <t>25%  of all seats are available for scholarship, schorlarship will be given on first come first serve basis.</t>
  </si>
  <si>
    <r>
      <rPr>
        <b/>
        <sz val="16"/>
        <color theme="1"/>
        <rFont val="Roboto"/>
      </rPr>
      <t>Fee Structure: 2025-28</t>
    </r>
    <r>
      <rPr>
        <b/>
        <sz val="12"/>
        <color theme="1"/>
        <rFont val="Roboto"/>
      </rPr>
      <t xml:space="preserve">
Diploma in Civil Engineering || Diploma in Computer Science Engineering || Diploma in Mechanical Engineering</t>
    </r>
  </si>
  <si>
    <t>#Diversity scholarship for candidates having 60% - 69.99% in 12th will be Rs. 10500 per sem</t>
  </si>
  <si>
    <t>#Diversity scholarship for candidates having 60% - 64.99% in 12th will be Rs. 13500 per sem</t>
  </si>
  <si>
    <t>#Diversity scholarship for candidates having 60% - 64.99% in 12th will be Rs. 11000 per sem</t>
  </si>
  <si>
    <t>#Diversity scholarship for candidates having 60% - 64.99% in 12th will be Rs. 9500 per sem</t>
  </si>
  <si>
    <t>#Diversity scholarship for candidates having 60% - 64.99% in 12th will be Rs. 7500 per sem</t>
  </si>
  <si>
    <t>#Diversity scholarship for candidates having 60% - 64.99% in 12th will be Rs. 5000 per sem</t>
  </si>
  <si>
    <t xml:space="preserve">#Diversity scholarship for candidates having 60% - 69.99% in 12th will be Rs. 15500 per sem								</t>
  </si>
  <si>
    <t>Bachelor Of Techology CSE</t>
  </si>
  <si>
    <t>Decerption line</t>
  </si>
  <si>
    <t>10 10 # discorunt for girls</t>
  </si>
  <si>
    <t>Uttarakhand State Candidates</t>
  </si>
  <si>
    <t>The below mentioned charges are the same for All India Candidates and Uttarakhand State Candidates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</si>
</sst>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Roboto"/>
    </font>
    <font>
      <b/>
      <sz val="16"/>
      <color theme="1"/>
      <name val="Roboto"/>
    </font>
    <font>
      <b/>
      <sz val="10"/>
      <color theme="1"/>
      <name val="Roboto"/>
    </font>
    <font>
      <b/>
      <sz val="9"/>
      <color theme="1"/>
      <name val="Roboto"/>
    </font>
    <font>
      <b/>
      <vertAlign val="superscript"/>
      <sz val="9"/>
      <color theme="1"/>
      <name val="Roboto"/>
    </font>
    <font>
      <sz val="9"/>
      <color theme="1"/>
      <name val="Roboto"/>
    </font>
    <font>
      <b/>
      <sz val="14"/>
      <color theme="1"/>
      <name val="Calibri"/>
      <family val="2"/>
      <scheme val="minor"/>
    </font>
    <font>
      <sz val="9"/>
      <color rgb="FF000000"/>
      <name val="Roboto"/>
    </font>
    <font>
      <sz val="9"/>
      <color rgb="FF000000"/>
      <name val="Roboto"/>
      <charset val="1"/>
    </font>
    <font>
      <b/>
      <sz val="10"/>
      <color rgb="FF000000"/>
      <name val="Roboto"/>
      <charset val="1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999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EEEE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FFC2C2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rgb="FF000000"/>
      </patternFill>
    </fill>
  </fills>
  <borders count="4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1">
    <xf numFmtId="0" fontId="0" fillId="0" borderId="0" xfId="0"/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left" vertical="center"/>
    </xf>
    <xf numFmtId="1" fontId="5" fillId="5" borderId="14" xfId="0" applyNumberFormat="1" applyFont="1" applyFill="1" applyBorder="1" applyAlignment="1">
      <alignment horizontal="center" vertical="center"/>
    </xf>
    <xf numFmtId="1" fontId="7" fillId="4" borderId="13" xfId="0" applyNumberFormat="1" applyFont="1" applyFill="1" applyBorder="1" applyAlignment="1">
      <alignment horizontal="center" vertical="center"/>
    </xf>
    <xf numFmtId="1" fontId="7" fillId="4" borderId="14" xfId="0" applyNumberFormat="1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4" borderId="13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vertical="center"/>
    </xf>
    <xf numFmtId="0" fontId="5" fillId="5" borderId="21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3" fontId="5" fillId="5" borderId="8" xfId="0" applyNumberFormat="1" applyFont="1" applyFill="1" applyBorder="1" applyAlignment="1">
      <alignment horizontal="center" vertical="center" wrapText="1"/>
    </xf>
    <xf numFmtId="3" fontId="5" fillId="5" borderId="22" xfId="0" applyNumberFormat="1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left" vertical="center"/>
    </xf>
    <xf numFmtId="0" fontId="4" fillId="3" borderId="19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" fontId="0" fillId="0" borderId="0" xfId="0" applyNumberFormat="1"/>
    <xf numFmtId="0" fontId="7" fillId="4" borderId="6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 wrapText="1"/>
    </xf>
    <xf numFmtId="3" fontId="5" fillId="5" borderId="13" xfId="0" applyNumberFormat="1" applyFont="1" applyFill="1" applyBorder="1" applyAlignment="1">
      <alignment horizontal="center" vertical="center" wrapText="1"/>
    </xf>
    <xf numFmtId="3" fontId="7" fillId="4" borderId="13" xfId="0" applyNumberFormat="1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left" vertical="center"/>
    </xf>
    <xf numFmtId="1" fontId="5" fillId="8" borderId="14" xfId="0" applyNumberFormat="1" applyFont="1" applyFill="1" applyBorder="1" applyAlignment="1">
      <alignment horizontal="center" vertical="center"/>
    </xf>
    <xf numFmtId="1" fontId="5" fillId="9" borderId="14" xfId="0" applyNumberFormat="1" applyFont="1" applyFill="1" applyBorder="1" applyAlignment="1">
      <alignment horizontal="center" vertical="center"/>
    </xf>
    <xf numFmtId="1" fontId="5" fillId="10" borderId="14" xfId="0" applyNumberFormat="1" applyFont="1" applyFill="1" applyBorder="1" applyAlignment="1">
      <alignment horizontal="center" vertical="center"/>
    </xf>
    <xf numFmtId="1" fontId="5" fillId="11" borderId="14" xfId="0" applyNumberFormat="1" applyFont="1" applyFill="1" applyBorder="1" applyAlignment="1">
      <alignment horizontal="center" vertical="center"/>
    </xf>
    <xf numFmtId="1" fontId="7" fillId="4" borderId="13" xfId="0" applyNumberFormat="1" applyFont="1" applyFill="1" applyBorder="1" applyAlignment="1">
      <alignment horizontal="left" vertical="center"/>
    </xf>
    <xf numFmtId="1" fontId="5" fillId="8" borderId="14" xfId="0" applyNumberFormat="1" applyFont="1" applyFill="1" applyBorder="1" applyAlignment="1">
      <alignment horizontal="left" vertical="center"/>
    </xf>
    <xf numFmtId="1" fontId="5" fillId="9" borderId="14" xfId="0" applyNumberFormat="1" applyFont="1" applyFill="1" applyBorder="1" applyAlignment="1">
      <alignment horizontal="left" vertical="center"/>
    </xf>
    <xf numFmtId="1" fontId="5" fillId="10" borderId="14" xfId="0" applyNumberFormat="1" applyFont="1" applyFill="1" applyBorder="1" applyAlignment="1">
      <alignment horizontal="left" vertical="center"/>
    </xf>
    <xf numFmtId="1" fontId="5" fillId="11" borderId="14" xfId="0" applyNumberFormat="1" applyFont="1" applyFill="1" applyBorder="1" applyAlignment="1">
      <alignment horizontal="left" vertical="center"/>
    </xf>
    <xf numFmtId="0" fontId="5" fillId="10" borderId="13" xfId="0" applyFont="1" applyFill="1" applyBorder="1" applyAlignment="1">
      <alignment horizontal="left" vertical="center"/>
    </xf>
    <xf numFmtId="0" fontId="5" fillId="11" borderId="13" xfId="0" applyFont="1" applyFill="1" applyBorder="1" applyAlignment="1">
      <alignment horizontal="left" vertical="center"/>
    </xf>
    <xf numFmtId="0" fontId="5" fillId="9" borderId="13" xfId="0" applyFont="1" applyFill="1" applyBorder="1" applyAlignment="1">
      <alignment horizontal="left" vertical="center"/>
    </xf>
    <xf numFmtId="0" fontId="5" fillId="6" borderId="19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left" vertical="center" wrapText="1"/>
    </xf>
    <xf numFmtId="1" fontId="7" fillId="4" borderId="11" xfId="0" applyNumberFormat="1" applyFont="1" applyFill="1" applyBorder="1" applyAlignment="1">
      <alignment horizontal="center" vertical="center"/>
    </xf>
    <xf numFmtId="1" fontId="7" fillId="4" borderId="5" xfId="0" applyNumberFormat="1" applyFont="1" applyFill="1" applyBorder="1" applyAlignment="1">
      <alignment horizontal="center" vertical="center"/>
    </xf>
    <xf numFmtId="1" fontId="5" fillId="4" borderId="26" xfId="0" applyNumberFormat="1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left" vertical="center" wrapText="1"/>
    </xf>
    <xf numFmtId="1" fontId="7" fillId="4" borderId="27" xfId="0" applyNumberFormat="1" applyFont="1" applyFill="1" applyBorder="1" applyAlignment="1">
      <alignment horizontal="center" vertical="center"/>
    </xf>
    <xf numFmtId="1" fontId="7" fillId="4" borderId="28" xfId="0" applyNumberFormat="1" applyFont="1" applyFill="1" applyBorder="1" applyAlignment="1">
      <alignment horizontal="center" vertical="center"/>
    </xf>
    <xf numFmtId="1" fontId="5" fillId="4" borderId="29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3" fontId="9" fillId="12" borderId="13" xfId="0" applyNumberFormat="1" applyFont="1" applyFill="1" applyBorder="1" applyAlignment="1">
      <alignment horizontal="center" vertical="center"/>
    </xf>
    <xf numFmtId="0" fontId="10" fillId="13" borderId="13" xfId="0" applyFont="1" applyFill="1" applyBorder="1" applyAlignment="1">
      <alignment horizontal="center" vertical="center"/>
    </xf>
    <xf numFmtId="0" fontId="10" fillId="13" borderId="6" xfId="0" applyFont="1" applyFill="1" applyBorder="1" applyAlignment="1">
      <alignment horizontal="center" vertical="center"/>
    </xf>
    <xf numFmtId="3" fontId="5" fillId="5" borderId="30" xfId="0" applyNumberFormat="1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/>
    </xf>
    <xf numFmtId="3" fontId="7" fillId="4" borderId="6" xfId="0" applyNumberFormat="1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/>
    </xf>
    <xf numFmtId="3" fontId="7" fillId="4" borderId="12" xfId="0" applyNumberFormat="1" applyFont="1" applyFill="1" applyBorder="1" applyAlignment="1">
      <alignment horizontal="center" vertical="center"/>
    </xf>
    <xf numFmtId="3" fontId="7" fillId="4" borderId="23" xfId="0" applyNumberFormat="1" applyFont="1" applyFill="1" applyBorder="1" applyAlignment="1">
      <alignment horizontal="center" vertical="center"/>
    </xf>
    <xf numFmtId="1" fontId="7" fillId="4" borderId="11" xfId="0" applyNumberFormat="1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3" borderId="20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1" fontId="10" fillId="13" borderId="13" xfId="0" applyNumberFormat="1" applyFont="1" applyFill="1" applyBorder="1" applyAlignment="1">
      <alignment horizontal="center" vertical="center"/>
    </xf>
    <xf numFmtId="1" fontId="10" fillId="13" borderId="24" xfId="0" applyNumberFormat="1" applyFont="1" applyFill="1" applyBorder="1" applyAlignment="1">
      <alignment horizontal="center" vertical="center"/>
    </xf>
    <xf numFmtId="1" fontId="10" fillId="13" borderId="33" xfId="0" applyNumberFormat="1" applyFont="1" applyFill="1" applyBorder="1" applyAlignment="1">
      <alignment horizontal="center" vertical="center"/>
    </xf>
    <xf numFmtId="1" fontId="10" fillId="13" borderId="14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3" borderId="35" xfId="0" applyFont="1" applyFill="1" applyBorder="1" applyAlignment="1">
      <alignment horizontal="center" vertical="center"/>
    </xf>
    <xf numFmtId="0" fontId="9" fillId="12" borderId="13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left" vertical="center"/>
    </xf>
    <xf numFmtId="1" fontId="5" fillId="5" borderId="13" xfId="0" applyNumberFormat="1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37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/>
    </xf>
    <xf numFmtId="0" fontId="7" fillId="4" borderId="39" xfId="0" applyFont="1" applyFill="1" applyBorder="1" applyAlignment="1">
      <alignment horizontal="center" vertical="center"/>
    </xf>
    <xf numFmtId="0" fontId="5" fillId="6" borderId="32" xfId="0" applyFont="1" applyFill="1" applyBorder="1" applyAlignment="1">
      <alignment horizontal="center" vertical="center"/>
    </xf>
    <xf numFmtId="0" fontId="7" fillId="4" borderId="40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4" borderId="41" xfId="0" applyFont="1" applyFill="1" applyBorder="1" applyAlignment="1">
      <alignment horizontal="center" vertical="center"/>
    </xf>
    <xf numFmtId="3" fontId="5" fillId="5" borderId="21" xfId="0" applyNumberFormat="1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3" fontId="7" fillId="4" borderId="26" xfId="0" applyNumberFormat="1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3" fontId="7" fillId="4" borderId="29" xfId="0" applyNumberFormat="1" applyFont="1" applyFill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4" fillId="0" borderId="46" xfId="0" applyFont="1" applyBorder="1" applyAlignment="1">
      <alignment horizontal="left" vertical="center"/>
    </xf>
    <xf numFmtId="0" fontId="13" fillId="0" borderId="0" xfId="0" applyFont="1"/>
    <xf numFmtId="1" fontId="5" fillId="8" borderId="13" xfId="0" applyNumberFormat="1" applyFont="1" applyFill="1" applyBorder="1" applyAlignment="1">
      <alignment horizontal="left" vertical="center"/>
    </xf>
    <xf numFmtId="1" fontId="5" fillId="8" borderId="13" xfId="0" applyNumberFormat="1" applyFont="1" applyFill="1" applyBorder="1" applyAlignment="1">
      <alignment horizontal="center" vertical="center"/>
    </xf>
    <xf numFmtId="1" fontId="5" fillId="9" borderId="13" xfId="0" applyNumberFormat="1" applyFont="1" applyFill="1" applyBorder="1" applyAlignment="1">
      <alignment horizontal="left" vertical="center"/>
    </xf>
    <xf numFmtId="1" fontId="5" fillId="9" borderId="13" xfId="0" applyNumberFormat="1" applyFont="1" applyFill="1" applyBorder="1" applyAlignment="1">
      <alignment horizontal="center" vertical="center"/>
    </xf>
    <xf numFmtId="1" fontId="5" fillId="10" borderId="13" xfId="0" applyNumberFormat="1" applyFont="1" applyFill="1" applyBorder="1" applyAlignment="1">
      <alignment horizontal="left" vertical="center"/>
    </xf>
    <xf numFmtId="1" fontId="5" fillId="10" borderId="13" xfId="0" applyNumberFormat="1" applyFont="1" applyFill="1" applyBorder="1" applyAlignment="1">
      <alignment horizontal="center" vertical="center"/>
    </xf>
    <xf numFmtId="1" fontId="5" fillId="11" borderId="13" xfId="0" applyNumberFormat="1" applyFont="1" applyFill="1" applyBorder="1" applyAlignment="1">
      <alignment horizontal="left" vertical="center"/>
    </xf>
    <xf numFmtId="1" fontId="5" fillId="11" borderId="13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0" borderId="13" xfId="0" applyFont="1" applyBorder="1" applyAlignment="1">
      <alignment vertical="center"/>
    </xf>
    <xf numFmtId="0" fontId="8" fillId="4" borderId="13" xfId="0" applyFont="1" applyFill="1" applyBorder="1" applyAlignment="1">
      <alignment vertical="center"/>
    </xf>
    <xf numFmtId="0" fontId="5" fillId="6" borderId="1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/>
    </xf>
    <xf numFmtId="0" fontId="7" fillId="4" borderId="13" xfId="0" applyFont="1" applyFill="1" applyBorder="1" applyAlignment="1">
      <alignment horizontal="left" vertical="center"/>
    </xf>
    <xf numFmtId="0" fontId="0" fillId="0" borderId="13" xfId="0" applyBorder="1" applyAlignment="1">
      <alignment horizont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left"/>
    </xf>
    <xf numFmtId="0" fontId="11" fillId="0" borderId="13" xfId="0" applyFont="1" applyBorder="1" applyAlignment="1">
      <alignment vertical="center"/>
    </xf>
    <xf numFmtId="0" fontId="5" fillId="4" borderId="13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left" vertical="center"/>
    </xf>
    <xf numFmtId="0" fontId="11" fillId="0" borderId="33" xfId="0" applyFont="1" applyBorder="1" applyAlignment="1">
      <alignment horizontal="left" vertical="center"/>
    </xf>
    <xf numFmtId="0" fontId="11" fillId="0" borderId="24" xfId="0" applyFont="1" applyBorder="1" applyAlignment="1">
      <alignment horizontal="left" vertical="center"/>
    </xf>
    <xf numFmtId="0" fontId="5" fillId="4" borderId="25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textRotation="90" wrapText="1"/>
    </xf>
    <xf numFmtId="0" fontId="3" fillId="3" borderId="17" xfId="0" applyFont="1" applyFill="1" applyBorder="1" applyAlignment="1">
      <alignment horizontal="center" vertical="center" textRotation="90" wrapText="1"/>
    </xf>
    <xf numFmtId="0" fontId="3" fillId="3" borderId="6" xfId="0" applyFont="1" applyFill="1" applyBorder="1" applyAlignment="1">
      <alignment horizontal="center" vertical="center" textRotation="90" wrapText="1"/>
    </xf>
    <xf numFmtId="0" fontId="3" fillId="3" borderId="10" xfId="0" applyFont="1" applyFill="1" applyBorder="1" applyAlignment="1">
      <alignment horizontal="center" vertical="center" textRotation="90" wrapText="1"/>
    </xf>
    <xf numFmtId="0" fontId="3" fillId="3" borderId="11" xfId="0" applyFont="1" applyFill="1" applyBorder="1" applyAlignment="1">
      <alignment horizontal="center" vertical="center" textRotation="90" wrapText="1"/>
    </xf>
    <xf numFmtId="0" fontId="5" fillId="5" borderId="1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4" xfId="0" applyBorder="1" applyAlignment="1">
      <alignment horizontal="center"/>
    </xf>
    <xf numFmtId="0" fontId="3" fillId="3" borderId="13" xfId="0" applyFont="1" applyFill="1" applyBorder="1" applyAlignment="1">
      <alignment horizontal="center" vertical="center" textRotation="90" wrapText="1"/>
    </xf>
    <xf numFmtId="0" fontId="3" fillId="3" borderId="34" xfId="0" applyFont="1" applyFill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/>
    </xf>
    <xf numFmtId="0" fontId="7" fillId="4" borderId="6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3" borderId="24" xfId="0" applyFont="1" applyFill="1" applyBorder="1" applyAlignment="1">
      <alignment horizontal="center" vertical="center" textRotation="90" wrapText="1"/>
    </xf>
    <xf numFmtId="0" fontId="5" fillId="4" borderId="10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/>
    </xf>
    <xf numFmtId="0" fontId="3" fillId="3" borderId="35" xfId="0" applyFont="1" applyFill="1" applyBorder="1" applyAlignment="1">
      <alignment horizontal="center" vertical="center" textRotation="90" wrapText="1"/>
    </xf>
    <xf numFmtId="0" fontId="3" fillId="3" borderId="8" xfId="0" applyFont="1" applyFill="1" applyBorder="1" applyAlignment="1">
      <alignment horizontal="center" vertical="center" textRotation="90" wrapText="1"/>
    </xf>
    <xf numFmtId="0" fontId="7" fillId="4" borderId="15" xfId="0" applyFont="1" applyFill="1" applyBorder="1" applyAlignment="1">
      <alignment horizontal="left" vertical="center" wrapText="1"/>
    </xf>
    <xf numFmtId="0" fontId="7" fillId="4" borderId="27" xfId="0" applyFont="1" applyFill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/>
    </xf>
    <xf numFmtId="0" fontId="0" fillId="0" borderId="13" xfId="0" applyBorder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textRotation="90" wrapText="1"/>
    </xf>
    <xf numFmtId="0" fontId="3" fillId="3" borderId="12" xfId="0" applyFont="1" applyFill="1" applyBorder="1" applyAlignment="1">
      <alignment horizontal="center" vertical="center" textRotation="90" wrapText="1"/>
    </xf>
    <xf numFmtId="0" fontId="3" fillId="3" borderId="15" xfId="0" applyFont="1" applyFill="1" applyBorder="1" applyAlignment="1">
      <alignment horizontal="center" vertical="center" textRotation="90" wrapText="1"/>
    </xf>
  </cellXfs>
  <cellStyles count="2">
    <cellStyle name="Comma 3" xfId="1" xr:uid="{C8C4C78B-AC3A-0744-8F96-B9C57E0B249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2175511</xdr:colOff>
      <xdr:row>0</xdr:row>
      <xdr:rowOff>0</xdr:rowOff>
    </xdr:from>
    <xdr:to>
      <xdr:col>3</xdr:col>
      <xdr:colOff>1190071</xdr:colOff>
      <xdr:row>8</xdr:row>
      <xdr:rowOff>48260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B43CEB-026F-BE47-8D15-FFB818B2C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811" y="0"/>
          <a:ext cx="5237560" cy="17754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2435716</xdr:colOff>
      <xdr:row>0</xdr:row>
      <xdr:rowOff>86590</xdr:rowOff>
    </xdr:from>
    <xdr:to>
      <xdr:col>6</xdr:col>
      <xdr:colOff>921173</xdr:colOff>
      <xdr:row>9</xdr:row>
      <xdr:rowOff>147203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088B65-8822-8645-9C24-21A360625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1034" y="86590"/>
          <a:ext cx="5187594" cy="18530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2323148</xdr:colOff>
      <xdr:row>0</xdr:row>
      <xdr:rowOff>28575</xdr:rowOff>
    </xdr:from>
    <xdr:to>
      <xdr:col>6</xdr:col>
      <xdr:colOff>945930</xdr:colOff>
      <xdr:row>9</xdr:row>
      <xdr:rowOff>157162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F6DBEA-30B4-FE4F-9F21-9F7B6C620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6548" y="28575"/>
          <a:ext cx="5328382" cy="19573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2323148</xdr:colOff>
      <xdr:row>0</xdr:row>
      <xdr:rowOff>28575</xdr:rowOff>
    </xdr:from>
    <xdr:to>
      <xdr:col>6</xdr:col>
      <xdr:colOff>945930</xdr:colOff>
      <xdr:row>9</xdr:row>
      <xdr:rowOff>157162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58DD58-F013-9340-B786-6DCA38EBD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4961" y="28575"/>
          <a:ext cx="5328382" cy="19288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2463800</xdr:colOff>
      <xdr:row>0</xdr:row>
      <xdr:rowOff>31750</xdr:rowOff>
    </xdr:from>
    <xdr:to>
      <xdr:col>6</xdr:col>
      <xdr:colOff>1149346</xdr:colOff>
      <xdr:row>9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E2289E-B7A9-7E41-869C-C8B4B92EF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37200" y="31750"/>
          <a:ext cx="5391146" cy="19723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2463800</xdr:colOff>
      <xdr:row>0</xdr:row>
      <xdr:rowOff>31750</xdr:rowOff>
    </xdr:from>
    <xdr:to>
      <xdr:col>6</xdr:col>
      <xdr:colOff>1149346</xdr:colOff>
      <xdr:row>9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0E9270-2891-DC4C-9F0B-430B0FB04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37200" y="31750"/>
          <a:ext cx="5391146" cy="197231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1245235</xdr:colOff>
      <xdr:row>0</xdr:row>
      <xdr:rowOff>24423</xdr:rowOff>
    </xdr:from>
    <xdr:to>
      <xdr:col>5</xdr:col>
      <xdr:colOff>769326</xdr:colOff>
      <xdr:row>9</xdr:row>
      <xdr:rowOff>178793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1C4B14-ED78-3045-936A-C6B6840D9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6438" y="24423"/>
          <a:ext cx="5104764" cy="196778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2487123</xdr:colOff>
      <xdr:row>0</xdr:row>
      <xdr:rowOff>66314</xdr:rowOff>
    </xdr:from>
    <xdr:to>
      <xdr:col>6</xdr:col>
      <xdr:colOff>748794</xdr:colOff>
      <xdr:row>9</xdr:row>
      <xdr:rowOff>114541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B6D2F5-A7C5-BD4D-A714-CE971F1EC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1648" y="66314"/>
          <a:ext cx="4971371" cy="183868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2357784</xdr:colOff>
      <xdr:row>0</xdr:row>
      <xdr:rowOff>64942</xdr:rowOff>
    </xdr:from>
    <xdr:to>
      <xdr:col>6</xdr:col>
      <xdr:colOff>1060737</xdr:colOff>
      <xdr:row>9</xdr:row>
      <xdr:rowOff>173180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06655C-9AEC-EE4F-9557-6462A3689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1184" y="64942"/>
          <a:ext cx="5408553" cy="193703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2357784</xdr:colOff>
      <xdr:row>0</xdr:row>
      <xdr:rowOff>64942</xdr:rowOff>
    </xdr:from>
    <xdr:to>
      <xdr:col>6</xdr:col>
      <xdr:colOff>1060737</xdr:colOff>
      <xdr:row>9</xdr:row>
      <xdr:rowOff>173180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C1137A-5074-464D-9405-C6563A5E0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1761" y="64942"/>
          <a:ext cx="5406534" cy="192664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813231</xdr:colOff>
      <xdr:row>0</xdr:row>
      <xdr:rowOff>107540</xdr:rowOff>
    </xdr:from>
    <xdr:to>
      <xdr:col>5</xdr:col>
      <xdr:colOff>1069857</xdr:colOff>
      <xdr:row>9</xdr:row>
      <xdr:rowOff>145763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D10BFD-15C8-F348-8C70-19D0A3A8C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5812" y="107540"/>
          <a:ext cx="5341747" cy="183568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2175511</xdr:colOff>
      <xdr:row>0</xdr:row>
      <xdr:rowOff>0</xdr:rowOff>
    </xdr:from>
    <xdr:to>
      <xdr:col>3</xdr:col>
      <xdr:colOff>428071</xdr:colOff>
      <xdr:row>8</xdr:row>
      <xdr:rowOff>48260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C59558-B38A-4B4D-B34F-756619390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7211" y="0"/>
          <a:ext cx="4323160" cy="1673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F714B-E52B-7848-8B92-A85F841D9473}">
  <sheetPr>
    <pageSetUpPr fitToPage="1"/>
  </sheetPr>
  <dimension ref="A1:K59"/>
  <sheetViews>
    <sheetView tabSelected="1" topLeftCell="A23" workbookViewId="0">
      <selection activeCell="A45" sqref="A45:B47"/>
    </sheetView>
  </sheetViews>
  <sheetFormatPr baseColWidth="10" defaultColWidth="8.83203125" defaultRowHeight="16" x14ac:dyDescent="0.2"/>
  <cols>
    <col min="1" max="1" width="23" bestFit="1" customWidth="1"/>
    <col min="2" max="2" width="41.1640625" bestFit="1" customWidth="1"/>
    <col min="3" max="3" width="16.83203125" customWidth="1"/>
    <col min="4" max="4" width="15.1640625" customWidth="1"/>
    <col min="5" max="5" width="14.83203125" customWidth="1"/>
    <col min="6" max="6" width="18.1640625" customWidth="1"/>
    <col min="7" max="9" width="16.6640625" customWidth="1"/>
  </cols>
  <sheetData>
    <row r="1" spans="1:11" ht="17" customHeight="1" x14ac:dyDescent="0.2">
      <c r="A1" s="123" t="s">
        <v>100</v>
      </c>
      <c r="B1" s="123"/>
      <c r="C1" s="123"/>
      <c r="D1" s="123"/>
      <c r="E1" s="123"/>
      <c r="F1" s="123"/>
      <c r="G1" s="123"/>
      <c r="H1" s="123"/>
      <c r="I1" s="123"/>
    </row>
    <row r="2" spans="1:11" ht="17" customHeight="1" x14ac:dyDescent="0.2">
      <c r="A2" s="123" t="s">
        <v>101</v>
      </c>
      <c r="B2" s="123"/>
      <c r="C2" s="123"/>
      <c r="D2" s="123"/>
      <c r="E2" s="123"/>
      <c r="F2" s="123"/>
      <c r="G2" s="123"/>
      <c r="H2" s="123"/>
      <c r="I2" s="123"/>
    </row>
    <row r="3" spans="1:11" ht="86" customHeight="1" x14ac:dyDescent="0.2">
      <c r="A3" s="110" t="s">
        <v>1</v>
      </c>
      <c r="B3" s="111" t="s">
        <v>2</v>
      </c>
      <c r="C3" s="110" t="s">
        <v>57</v>
      </c>
      <c r="D3" s="110" t="s">
        <v>58</v>
      </c>
      <c r="E3" s="110" t="s">
        <v>59</v>
      </c>
      <c r="F3" s="110" t="s">
        <v>60</v>
      </c>
      <c r="G3" s="110" t="s">
        <v>61</v>
      </c>
      <c r="H3" s="110" t="s">
        <v>62</v>
      </c>
      <c r="I3" s="110" t="s">
        <v>63</v>
      </c>
    </row>
    <row r="4" spans="1:11" ht="16" customHeight="1" x14ac:dyDescent="0.2">
      <c r="A4" s="120" t="s">
        <v>0</v>
      </c>
      <c r="B4" s="121"/>
      <c r="C4" s="121"/>
      <c r="D4" s="121"/>
      <c r="E4" s="121"/>
      <c r="F4" s="121"/>
      <c r="G4" s="121"/>
      <c r="H4" s="121"/>
      <c r="I4" s="122"/>
    </row>
    <row r="5" spans="1:11" x14ac:dyDescent="0.2">
      <c r="A5" s="126" t="s">
        <v>38</v>
      </c>
      <c r="B5" s="66" t="s">
        <v>10</v>
      </c>
      <c r="C5" s="45">
        <v>77500</v>
      </c>
      <c r="D5" s="45">
        <f>C5</f>
        <v>77500</v>
      </c>
      <c r="E5" s="45">
        <f t="shared" ref="E5:I5" si="0">D5</f>
        <v>77500</v>
      </c>
      <c r="F5" s="45">
        <f t="shared" si="0"/>
        <v>77500</v>
      </c>
      <c r="G5" s="45">
        <f t="shared" si="0"/>
        <v>77500</v>
      </c>
      <c r="H5" s="45">
        <f t="shared" si="0"/>
        <v>77500</v>
      </c>
      <c r="I5" s="45">
        <f t="shared" si="0"/>
        <v>77500</v>
      </c>
    </row>
    <row r="6" spans="1:11" x14ac:dyDescent="0.2">
      <c r="A6" s="127"/>
      <c r="B6" s="34" t="s">
        <v>11</v>
      </c>
      <c r="C6" s="6">
        <v>10800</v>
      </c>
      <c r="D6" s="6">
        <v>8700</v>
      </c>
      <c r="E6" s="6">
        <v>6600</v>
      </c>
      <c r="F6" s="6">
        <v>4500</v>
      </c>
      <c r="G6" s="6">
        <v>3400</v>
      </c>
      <c r="H6" s="6">
        <v>2400</v>
      </c>
      <c r="I6" s="6">
        <v>0</v>
      </c>
      <c r="J6" s="24"/>
      <c r="K6" s="24"/>
    </row>
    <row r="7" spans="1:11" x14ac:dyDescent="0.2">
      <c r="A7" s="127"/>
      <c r="B7" s="102" t="s">
        <v>44</v>
      </c>
      <c r="C7" s="103">
        <v>12500</v>
      </c>
      <c r="D7" s="103">
        <f>C7</f>
        <v>12500</v>
      </c>
      <c r="E7" s="103">
        <f t="shared" ref="E7:I7" si="1">D7</f>
        <v>12500</v>
      </c>
      <c r="F7" s="103">
        <f t="shared" si="1"/>
        <v>12500</v>
      </c>
      <c r="G7" s="103">
        <f t="shared" si="1"/>
        <v>12500</v>
      </c>
      <c r="H7" s="103">
        <f t="shared" si="1"/>
        <v>12500</v>
      </c>
      <c r="I7" s="103">
        <f t="shared" si="1"/>
        <v>12500</v>
      </c>
      <c r="J7" s="24"/>
      <c r="K7" s="24"/>
    </row>
    <row r="8" spans="1:11" x14ac:dyDescent="0.2">
      <c r="A8" s="127"/>
      <c r="B8" s="102" t="s">
        <v>47</v>
      </c>
      <c r="C8" s="103">
        <f>(((C5-C6)*0.95)*2)-C7*2</f>
        <v>101730</v>
      </c>
      <c r="D8" s="103">
        <f t="shared" ref="D8:I8" si="2">(((D5-D6)*0.95)*2)-D7*2</f>
        <v>105720</v>
      </c>
      <c r="E8" s="103">
        <f t="shared" si="2"/>
        <v>109710</v>
      </c>
      <c r="F8" s="103">
        <f t="shared" si="2"/>
        <v>113700</v>
      </c>
      <c r="G8" s="103">
        <f t="shared" si="2"/>
        <v>115790</v>
      </c>
      <c r="H8" s="103">
        <f t="shared" si="2"/>
        <v>117690</v>
      </c>
      <c r="I8" s="103">
        <f t="shared" si="2"/>
        <v>122250</v>
      </c>
    </row>
    <row r="9" spans="1:11" x14ac:dyDescent="0.2">
      <c r="A9" s="127"/>
      <c r="B9" s="102" t="s">
        <v>48</v>
      </c>
      <c r="C9" s="103">
        <f>(C5-C6)-C7</f>
        <v>54200</v>
      </c>
      <c r="D9" s="103">
        <f t="shared" ref="D9:I9" si="3">(D5-D6)-D7</f>
        <v>56300</v>
      </c>
      <c r="E9" s="103">
        <f t="shared" si="3"/>
        <v>58400</v>
      </c>
      <c r="F9" s="103">
        <f t="shared" si="3"/>
        <v>60500</v>
      </c>
      <c r="G9" s="103">
        <f t="shared" si="3"/>
        <v>61600</v>
      </c>
      <c r="H9" s="103">
        <f t="shared" si="3"/>
        <v>62600</v>
      </c>
      <c r="I9" s="103">
        <f t="shared" si="3"/>
        <v>65000</v>
      </c>
    </row>
    <row r="10" spans="1:11" ht="16" customHeight="1" x14ac:dyDescent="0.2">
      <c r="A10" s="126" t="s">
        <v>39</v>
      </c>
      <c r="B10" s="34" t="s">
        <v>12</v>
      </c>
      <c r="C10" s="6">
        <f>C5*1.05</f>
        <v>81375</v>
      </c>
      <c r="D10" s="6">
        <f t="shared" ref="D10:G10" si="4">C10</f>
        <v>81375</v>
      </c>
      <c r="E10" s="6">
        <f t="shared" si="4"/>
        <v>81375</v>
      </c>
      <c r="F10" s="6">
        <f t="shared" si="4"/>
        <v>81375</v>
      </c>
      <c r="G10" s="6">
        <f t="shared" si="4"/>
        <v>81375</v>
      </c>
      <c r="H10" s="6">
        <f>H5*1.05</f>
        <v>81375</v>
      </c>
      <c r="I10" s="6">
        <f t="shared" ref="I10" si="5">H10</f>
        <v>81375</v>
      </c>
    </row>
    <row r="11" spans="1:11" x14ac:dyDescent="0.2">
      <c r="A11" s="127"/>
      <c r="B11" s="34" t="s">
        <v>11</v>
      </c>
      <c r="C11" s="6">
        <f t="shared" ref="C11:I11" si="6">C6</f>
        <v>10800</v>
      </c>
      <c r="D11" s="6">
        <f t="shared" si="6"/>
        <v>8700</v>
      </c>
      <c r="E11" s="6">
        <f t="shared" si="6"/>
        <v>6600</v>
      </c>
      <c r="F11" s="6">
        <f t="shared" si="6"/>
        <v>4500</v>
      </c>
      <c r="G11" s="6">
        <f t="shared" si="6"/>
        <v>3400</v>
      </c>
      <c r="H11" s="6">
        <f t="shared" si="6"/>
        <v>2400</v>
      </c>
      <c r="I11" s="6">
        <f t="shared" si="6"/>
        <v>0</v>
      </c>
    </row>
    <row r="12" spans="1:11" x14ac:dyDescent="0.2">
      <c r="A12" s="127"/>
      <c r="B12" s="104" t="s">
        <v>44</v>
      </c>
      <c r="C12" s="105">
        <f>C7</f>
        <v>12500</v>
      </c>
      <c r="D12" s="105">
        <f>C12</f>
        <v>12500</v>
      </c>
      <c r="E12" s="105">
        <f t="shared" ref="E12:I12" si="7">D12</f>
        <v>12500</v>
      </c>
      <c r="F12" s="105">
        <f t="shared" si="7"/>
        <v>12500</v>
      </c>
      <c r="G12" s="105">
        <f t="shared" si="7"/>
        <v>12500</v>
      </c>
      <c r="H12" s="105">
        <f t="shared" si="7"/>
        <v>12500</v>
      </c>
      <c r="I12" s="105">
        <f t="shared" si="7"/>
        <v>12500</v>
      </c>
    </row>
    <row r="13" spans="1:11" x14ac:dyDescent="0.2">
      <c r="A13" s="127"/>
      <c r="B13" s="104" t="s">
        <v>47</v>
      </c>
      <c r="C13" s="105">
        <f>(((C10-C11)*0.95)*2)-C12*2</f>
        <v>109092.5</v>
      </c>
      <c r="D13" s="105">
        <f t="shared" ref="D13:I13" si="8">(((D10-D11)*0.95)*2)-D12*2</f>
        <v>113082.5</v>
      </c>
      <c r="E13" s="105">
        <f t="shared" si="8"/>
        <v>117072.5</v>
      </c>
      <c r="F13" s="105">
        <f t="shared" si="8"/>
        <v>121062.5</v>
      </c>
      <c r="G13" s="105">
        <f t="shared" si="8"/>
        <v>123152.5</v>
      </c>
      <c r="H13" s="105">
        <f t="shared" si="8"/>
        <v>125052.5</v>
      </c>
      <c r="I13" s="105">
        <f t="shared" si="8"/>
        <v>129612.5</v>
      </c>
    </row>
    <row r="14" spans="1:11" x14ac:dyDescent="0.2">
      <c r="A14" s="127"/>
      <c r="B14" s="104" t="s">
        <v>48</v>
      </c>
      <c r="C14" s="105">
        <f>(C10-C11)-C12</f>
        <v>58075</v>
      </c>
      <c r="D14" s="105">
        <f t="shared" ref="D14:I14" si="9">(D10-D11)-D12</f>
        <v>60175</v>
      </c>
      <c r="E14" s="105">
        <f t="shared" si="9"/>
        <v>62275</v>
      </c>
      <c r="F14" s="105">
        <f t="shared" si="9"/>
        <v>64375</v>
      </c>
      <c r="G14" s="105">
        <f t="shared" si="9"/>
        <v>65475</v>
      </c>
      <c r="H14" s="105">
        <f t="shared" si="9"/>
        <v>66475</v>
      </c>
      <c r="I14" s="105">
        <f t="shared" si="9"/>
        <v>68875</v>
      </c>
    </row>
    <row r="15" spans="1:11" x14ac:dyDescent="0.2">
      <c r="A15" s="126" t="s">
        <v>40</v>
      </c>
      <c r="B15" s="34" t="s">
        <v>12</v>
      </c>
      <c r="C15" s="6">
        <f>C10*1.05</f>
        <v>85443.75</v>
      </c>
      <c r="D15" s="6">
        <f t="shared" ref="D15:G15" si="10">C15</f>
        <v>85443.75</v>
      </c>
      <c r="E15" s="6">
        <f t="shared" si="10"/>
        <v>85443.75</v>
      </c>
      <c r="F15" s="6">
        <f t="shared" si="10"/>
        <v>85443.75</v>
      </c>
      <c r="G15" s="6">
        <f t="shared" si="10"/>
        <v>85443.75</v>
      </c>
      <c r="H15" s="6">
        <f>H10*1.05</f>
        <v>85443.75</v>
      </c>
      <c r="I15" s="6">
        <f t="shared" ref="I15" si="11">H15</f>
        <v>85443.75</v>
      </c>
    </row>
    <row r="16" spans="1:11" x14ac:dyDescent="0.2">
      <c r="A16" s="127"/>
      <c r="B16" s="34" t="s">
        <v>11</v>
      </c>
      <c r="C16" s="6">
        <f t="shared" ref="C16:I16" si="12">C11</f>
        <v>10800</v>
      </c>
      <c r="D16" s="6">
        <f t="shared" si="12"/>
        <v>8700</v>
      </c>
      <c r="E16" s="6">
        <f t="shared" si="12"/>
        <v>6600</v>
      </c>
      <c r="F16" s="6">
        <f t="shared" si="12"/>
        <v>4500</v>
      </c>
      <c r="G16" s="6">
        <f t="shared" si="12"/>
        <v>3400</v>
      </c>
      <c r="H16" s="6">
        <f t="shared" si="12"/>
        <v>2400</v>
      </c>
      <c r="I16" s="6">
        <f t="shared" si="12"/>
        <v>0</v>
      </c>
    </row>
    <row r="17" spans="1:9" x14ac:dyDescent="0.2">
      <c r="A17" s="127"/>
      <c r="B17" s="106" t="s">
        <v>44</v>
      </c>
      <c r="C17" s="107">
        <f>C12</f>
        <v>12500</v>
      </c>
      <c r="D17" s="107">
        <f>C17</f>
        <v>12500</v>
      </c>
      <c r="E17" s="107">
        <f t="shared" ref="E17" si="13">D17</f>
        <v>12500</v>
      </c>
      <c r="F17" s="107">
        <f t="shared" ref="F17" si="14">E17</f>
        <v>12500</v>
      </c>
      <c r="G17" s="107">
        <f t="shared" ref="G17" si="15">F17</f>
        <v>12500</v>
      </c>
      <c r="H17" s="107">
        <f t="shared" ref="H17" si="16">G17</f>
        <v>12500</v>
      </c>
      <c r="I17" s="107">
        <f t="shared" ref="I17" si="17">H17</f>
        <v>12500</v>
      </c>
    </row>
    <row r="18" spans="1:9" x14ac:dyDescent="0.2">
      <c r="A18" s="127"/>
      <c r="B18" s="106" t="s">
        <v>47</v>
      </c>
      <c r="C18" s="107">
        <f>(((C15-C16)*0.95)*2)-C17*2</f>
        <v>116823.125</v>
      </c>
      <c r="D18" s="107">
        <f t="shared" ref="D18:I18" si="18">(((D15-D16)*0.95)*2)-D17*2</f>
        <v>120813.125</v>
      </c>
      <c r="E18" s="107">
        <f t="shared" si="18"/>
        <v>124803.125</v>
      </c>
      <c r="F18" s="107">
        <f t="shared" si="18"/>
        <v>128793.125</v>
      </c>
      <c r="G18" s="107">
        <f t="shared" si="18"/>
        <v>130883.125</v>
      </c>
      <c r="H18" s="107">
        <f t="shared" si="18"/>
        <v>132783.125</v>
      </c>
      <c r="I18" s="107">
        <f t="shared" si="18"/>
        <v>137343.125</v>
      </c>
    </row>
    <row r="19" spans="1:9" x14ac:dyDescent="0.2">
      <c r="A19" s="127"/>
      <c r="B19" s="106" t="s">
        <v>48</v>
      </c>
      <c r="C19" s="107">
        <f>(C15-C16)-C17</f>
        <v>62143.75</v>
      </c>
      <c r="D19" s="107">
        <f t="shared" ref="D19:I19" si="19">(D15-D16)-D17</f>
        <v>64243.75</v>
      </c>
      <c r="E19" s="107">
        <f t="shared" si="19"/>
        <v>66343.75</v>
      </c>
      <c r="F19" s="107">
        <f t="shared" si="19"/>
        <v>68443.75</v>
      </c>
      <c r="G19" s="107">
        <f t="shared" si="19"/>
        <v>69543.75</v>
      </c>
      <c r="H19" s="107">
        <f t="shared" si="19"/>
        <v>70543.75</v>
      </c>
      <c r="I19" s="107">
        <f t="shared" si="19"/>
        <v>72943.75</v>
      </c>
    </row>
    <row r="20" spans="1:9" x14ac:dyDescent="0.2">
      <c r="A20" s="126" t="s">
        <v>41</v>
      </c>
      <c r="B20" s="34" t="s">
        <v>12</v>
      </c>
      <c r="C20" s="6">
        <f>C15*1.05</f>
        <v>89715.9375</v>
      </c>
      <c r="D20" s="6">
        <f t="shared" ref="D20:G20" si="20">C20</f>
        <v>89715.9375</v>
      </c>
      <c r="E20" s="6">
        <f t="shared" si="20"/>
        <v>89715.9375</v>
      </c>
      <c r="F20" s="6">
        <f t="shared" si="20"/>
        <v>89715.9375</v>
      </c>
      <c r="G20" s="6">
        <f t="shared" si="20"/>
        <v>89715.9375</v>
      </c>
      <c r="H20" s="6">
        <f>H15*1.05</f>
        <v>89715.9375</v>
      </c>
      <c r="I20" s="6">
        <f t="shared" ref="I20" si="21">H20</f>
        <v>89715.9375</v>
      </c>
    </row>
    <row r="21" spans="1:9" x14ac:dyDescent="0.2">
      <c r="A21" s="127"/>
      <c r="B21" s="34" t="s">
        <v>11</v>
      </c>
      <c r="C21" s="6">
        <f t="shared" ref="C21:I21" si="22">C16</f>
        <v>10800</v>
      </c>
      <c r="D21" s="6">
        <f t="shared" si="22"/>
        <v>8700</v>
      </c>
      <c r="E21" s="6">
        <f t="shared" si="22"/>
        <v>6600</v>
      </c>
      <c r="F21" s="6">
        <f t="shared" si="22"/>
        <v>4500</v>
      </c>
      <c r="G21" s="6">
        <f t="shared" si="22"/>
        <v>3400</v>
      </c>
      <c r="H21" s="6">
        <f t="shared" si="22"/>
        <v>2400</v>
      </c>
      <c r="I21" s="6">
        <f t="shared" si="22"/>
        <v>0</v>
      </c>
    </row>
    <row r="22" spans="1:9" x14ac:dyDescent="0.2">
      <c r="A22" s="127"/>
      <c r="B22" s="108" t="s">
        <v>44</v>
      </c>
      <c r="C22" s="109">
        <f>C17</f>
        <v>12500</v>
      </c>
      <c r="D22" s="109">
        <f>C22</f>
        <v>12500</v>
      </c>
      <c r="E22" s="109">
        <f t="shared" ref="E22" si="23">D22</f>
        <v>12500</v>
      </c>
      <c r="F22" s="109">
        <f t="shared" ref="F22" si="24">E22</f>
        <v>12500</v>
      </c>
      <c r="G22" s="109">
        <f t="shared" ref="G22" si="25">F22</f>
        <v>12500</v>
      </c>
      <c r="H22" s="109">
        <f t="shared" ref="H22" si="26">G22</f>
        <v>12500</v>
      </c>
      <c r="I22" s="109">
        <f t="shared" ref="I22" si="27">H22</f>
        <v>12500</v>
      </c>
    </row>
    <row r="23" spans="1:9" x14ac:dyDescent="0.2">
      <c r="A23" s="127"/>
      <c r="B23" s="108" t="s">
        <v>47</v>
      </c>
      <c r="C23" s="109">
        <f>(((C20-C21)*0.95)*2)-C22*2</f>
        <v>124940.28125</v>
      </c>
      <c r="D23" s="109">
        <f t="shared" ref="D23:I23" si="28">(((D20-D21)*0.95)*2)-D22*2</f>
        <v>128930.28125</v>
      </c>
      <c r="E23" s="109">
        <f t="shared" si="28"/>
        <v>132920.28125</v>
      </c>
      <c r="F23" s="109">
        <f t="shared" si="28"/>
        <v>136910.28125</v>
      </c>
      <c r="G23" s="109">
        <f t="shared" si="28"/>
        <v>139000.28125</v>
      </c>
      <c r="H23" s="109">
        <f t="shared" si="28"/>
        <v>140900.28125</v>
      </c>
      <c r="I23" s="109">
        <f t="shared" si="28"/>
        <v>145460.28125</v>
      </c>
    </row>
    <row r="24" spans="1:9" x14ac:dyDescent="0.2">
      <c r="A24" s="127"/>
      <c r="B24" s="108" t="s">
        <v>48</v>
      </c>
      <c r="C24" s="109">
        <f>(C20-C21)-C22</f>
        <v>66415.9375</v>
      </c>
      <c r="D24" s="109">
        <f t="shared" ref="D24:I24" si="29">(D20-D21)-D22</f>
        <v>68515.9375</v>
      </c>
      <c r="E24" s="109">
        <f t="shared" si="29"/>
        <v>70615.9375</v>
      </c>
      <c r="F24" s="109">
        <f t="shared" si="29"/>
        <v>72715.9375</v>
      </c>
      <c r="G24" s="109">
        <f t="shared" si="29"/>
        <v>73815.9375</v>
      </c>
      <c r="H24" s="109">
        <f t="shared" si="29"/>
        <v>74815.9375</v>
      </c>
      <c r="I24" s="109">
        <f t="shared" si="29"/>
        <v>77215.9375</v>
      </c>
    </row>
    <row r="25" spans="1:9" x14ac:dyDescent="0.2">
      <c r="A25" s="128" t="s">
        <v>13</v>
      </c>
      <c r="B25" s="128"/>
      <c r="C25" s="109">
        <f t="shared" ref="C25:I25" si="30">SUM(C8,C13,C18,C23)</f>
        <v>452585.90625</v>
      </c>
      <c r="D25" s="109">
        <f t="shared" si="30"/>
        <v>468545.90625</v>
      </c>
      <c r="E25" s="109">
        <f t="shared" si="30"/>
        <v>484505.90625</v>
      </c>
      <c r="F25" s="109">
        <f t="shared" si="30"/>
        <v>500465.90625</v>
      </c>
      <c r="G25" s="109">
        <f t="shared" si="30"/>
        <v>508825.90625</v>
      </c>
      <c r="H25" s="109">
        <f t="shared" si="30"/>
        <v>516425.90625</v>
      </c>
      <c r="I25" s="109">
        <f t="shared" si="30"/>
        <v>534665.90625</v>
      </c>
    </row>
    <row r="26" spans="1:9" ht="16" customHeight="1" x14ac:dyDescent="0.2">
      <c r="A26" s="120" t="s">
        <v>103</v>
      </c>
      <c r="B26" s="121"/>
      <c r="C26" s="121"/>
      <c r="D26" s="121"/>
      <c r="E26" s="121"/>
      <c r="F26" s="121"/>
      <c r="G26" s="121"/>
      <c r="H26" s="121"/>
      <c r="I26" s="122"/>
    </row>
    <row r="27" spans="1:9" x14ac:dyDescent="0.2">
      <c r="A27" s="126" t="s">
        <v>38</v>
      </c>
      <c r="B27" s="19" t="s">
        <v>15</v>
      </c>
      <c r="C27" s="6">
        <f>C5*0.75</f>
        <v>58125</v>
      </c>
      <c r="D27" s="6">
        <f t="shared" ref="D27:G27" si="31">C27</f>
        <v>58125</v>
      </c>
      <c r="E27" s="6">
        <f t="shared" si="31"/>
        <v>58125</v>
      </c>
      <c r="F27" s="6">
        <f t="shared" si="31"/>
        <v>58125</v>
      </c>
      <c r="G27" s="6">
        <f t="shared" si="31"/>
        <v>58125</v>
      </c>
      <c r="H27" s="6">
        <f>H5*0.75</f>
        <v>58125</v>
      </c>
      <c r="I27" s="6">
        <f t="shared" ref="I27" si="32">H27</f>
        <v>58125</v>
      </c>
    </row>
    <row r="28" spans="1:9" x14ac:dyDescent="0.2">
      <c r="A28" s="127"/>
      <c r="B28" s="19" t="s">
        <v>11</v>
      </c>
      <c r="C28" s="6">
        <v>10800</v>
      </c>
      <c r="D28" s="6">
        <v>8700</v>
      </c>
      <c r="E28" s="6">
        <v>6600</v>
      </c>
      <c r="F28" s="6">
        <v>4500</v>
      </c>
      <c r="G28" s="6">
        <v>3400</v>
      </c>
      <c r="H28" s="6">
        <v>2400</v>
      </c>
      <c r="I28" s="6">
        <v>0</v>
      </c>
    </row>
    <row r="29" spans="1:9" x14ac:dyDescent="0.2">
      <c r="A29" s="127"/>
      <c r="B29" s="29" t="s">
        <v>47</v>
      </c>
      <c r="C29" s="103">
        <f>((C27-C28)*0.95)*2</f>
        <v>89917.5</v>
      </c>
      <c r="D29" s="103">
        <f t="shared" ref="D29:I29" si="33">((D27-D28)*0.95)*2</f>
        <v>93907.5</v>
      </c>
      <c r="E29" s="103">
        <f t="shared" si="33"/>
        <v>97897.5</v>
      </c>
      <c r="F29" s="103">
        <f t="shared" si="33"/>
        <v>101887.5</v>
      </c>
      <c r="G29" s="103">
        <f t="shared" si="33"/>
        <v>103977.5</v>
      </c>
      <c r="H29" s="103">
        <f t="shared" si="33"/>
        <v>105877.5</v>
      </c>
      <c r="I29" s="103">
        <f t="shared" si="33"/>
        <v>110437.5</v>
      </c>
    </row>
    <row r="30" spans="1:9" x14ac:dyDescent="0.2">
      <c r="A30" s="127"/>
      <c r="B30" s="29" t="s">
        <v>48</v>
      </c>
      <c r="C30" s="103">
        <f>(C27-C28)</f>
        <v>47325</v>
      </c>
      <c r="D30" s="103">
        <f t="shared" ref="D30:I30" si="34">(D27-D28)</f>
        <v>49425</v>
      </c>
      <c r="E30" s="103">
        <f t="shared" si="34"/>
        <v>51525</v>
      </c>
      <c r="F30" s="103">
        <f t="shared" si="34"/>
        <v>53625</v>
      </c>
      <c r="G30" s="103">
        <f t="shared" si="34"/>
        <v>54725</v>
      </c>
      <c r="H30" s="103">
        <f t="shared" si="34"/>
        <v>55725</v>
      </c>
      <c r="I30" s="103">
        <f t="shared" si="34"/>
        <v>58125</v>
      </c>
    </row>
    <row r="31" spans="1:9" x14ac:dyDescent="0.2">
      <c r="A31" s="126" t="s">
        <v>39</v>
      </c>
      <c r="B31" s="19" t="s">
        <v>15</v>
      </c>
      <c r="C31" s="6">
        <f>C27*1.05</f>
        <v>61031.25</v>
      </c>
      <c r="D31" s="6">
        <f t="shared" ref="D31:G31" si="35">C31</f>
        <v>61031.25</v>
      </c>
      <c r="E31" s="6">
        <f t="shared" si="35"/>
        <v>61031.25</v>
      </c>
      <c r="F31" s="6">
        <f t="shared" si="35"/>
        <v>61031.25</v>
      </c>
      <c r="G31" s="6">
        <f t="shared" si="35"/>
        <v>61031.25</v>
      </c>
      <c r="H31" s="6">
        <f>H27*1.05</f>
        <v>61031.25</v>
      </c>
      <c r="I31" s="6">
        <f t="shared" ref="I31" si="36">H31</f>
        <v>61031.25</v>
      </c>
    </row>
    <row r="32" spans="1:9" x14ac:dyDescent="0.2">
      <c r="A32" s="127"/>
      <c r="B32" s="19" t="s">
        <v>11</v>
      </c>
      <c r="C32" s="6">
        <f t="shared" ref="C32:I32" si="37">C28</f>
        <v>10800</v>
      </c>
      <c r="D32" s="6">
        <f t="shared" si="37"/>
        <v>8700</v>
      </c>
      <c r="E32" s="6">
        <f t="shared" si="37"/>
        <v>6600</v>
      </c>
      <c r="F32" s="6">
        <f t="shared" si="37"/>
        <v>4500</v>
      </c>
      <c r="G32" s="6">
        <f t="shared" si="37"/>
        <v>3400</v>
      </c>
      <c r="H32" s="6">
        <f t="shared" si="37"/>
        <v>2400</v>
      </c>
      <c r="I32" s="6">
        <f t="shared" si="37"/>
        <v>0</v>
      </c>
    </row>
    <row r="33" spans="1:9" x14ac:dyDescent="0.2">
      <c r="A33" s="127"/>
      <c r="B33" s="104" t="s">
        <v>47</v>
      </c>
      <c r="C33" s="105">
        <f>((C31-C32)*0.95)*2</f>
        <v>95439.375</v>
      </c>
      <c r="D33" s="105">
        <f t="shared" ref="D33:I33" si="38">((D31-D32)*0.95)*2</f>
        <v>99429.375</v>
      </c>
      <c r="E33" s="105">
        <f t="shared" si="38"/>
        <v>103419.375</v>
      </c>
      <c r="F33" s="105">
        <f t="shared" si="38"/>
        <v>107409.375</v>
      </c>
      <c r="G33" s="105">
        <f t="shared" si="38"/>
        <v>109499.375</v>
      </c>
      <c r="H33" s="105">
        <f t="shared" si="38"/>
        <v>111399.375</v>
      </c>
      <c r="I33" s="105">
        <f t="shared" si="38"/>
        <v>115959.375</v>
      </c>
    </row>
    <row r="34" spans="1:9" x14ac:dyDescent="0.2">
      <c r="A34" s="127"/>
      <c r="B34" s="41" t="s">
        <v>48</v>
      </c>
      <c r="C34" s="105">
        <f>(C31-C32)</f>
        <v>50231.25</v>
      </c>
      <c r="D34" s="105">
        <f t="shared" ref="D34:I34" si="39">(D31-D32)</f>
        <v>52331.25</v>
      </c>
      <c r="E34" s="105">
        <f t="shared" si="39"/>
        <v>54431.25</v>
      </c>
      <c r="F34" s="105">
        <f t="shared" si="39"/>
        <v>56531.25</v>
      </c>
      <c r="G34" s="105">
        <f t="shared" si="39"/>
        <v>57631.25</v>
      </c>
      <c r="H34" s="105">
        <f t="shared" si="39"/>
        <v>58631.25</v>
      </c>
      <c r="I34" s="105">
        <f t="shared" si="39"/>
        <v>61031.25</v>
      </c>
    </row>
    <row r="35" spans="1:9" x14ac:dyDescent="0.2">
      <c r="A35" s="126" t="s">
        <v>40</v>
      </c>
      <c r="B35" s="19" t="s">
        <v>15</v>
      </c>
      <c r="C35" s="6">
        <f>C31*1.05</f>
        <v>64082.8125</v>
      </c>
      <c r="D35" s="6">
        <f t="shared" ref="D35:G35" si="40">C35</f>
        <v>64082.8125</v>
      </c>
      <c r="E35" s="6">
        <f t="shared" si="40"/>
        <v>64082.8125</v>
      </c>
      <c r="F35" s="6">
        <f t="shared" si="40"/>
        <v>64082.8125</v>
      </c>
      <c r="G35" s="6">
        <f t="shared" si="40"/>
        <v>64082.8125</v>
      </c>
      <c r="H35" s="6">
        <f>H31*1.05</f>
        <v>64082.8125</v>
      </c>
      <c r="I35" s="6">
        <f t="shared" ref="I35" si="41">H35</f>
        <v>64082.8125</v>
      </c>
    </row>
    <row r="36" spans="1:9" x14ac:dyDescent="0.2">
      <c r="A36" s="127"/>
      <c r="B36" s="19" t="s">
        <v>11</v>
      </c>
      <c r="C36" s="6">
        <f t="shared" ref="C36:I36" si="42">C32</f>
        <v>10800</v>
      </c>
      <c r="D36" s="6">
        <f t="shared" si="42"/>
        <v>8700</v>
      </c>
      <c r="E36" s="6">
        <f t="shared" si="42"/>
        <v>6600</v>
      </c>
      <c r="F36" s="6">
        <f t="shared" si="42"/>
        <v>4500</v>
      </c>
      <c r="G36" s="6">
        <f t="shared" si="42"/>
        <v>3400</v>
      </c>
      <c r="H36" s="6">
        <f t="shared" si="42"/>
        <v>2400</v>
      </c>
      <c r="I36" s="6">
        <f t="shared" si="42"/>
        <v>0</v>
      </c>
    </row>
    <row r="37" spans="1:9" x14ac:dyDescent="0.2">
      <c r="A37" s="127"/>
      <c r="B37" s="106" t="s">
        <v>47</v>
      </c>
      <c r="C37" s="107">
        <f>((C35-C36)*0.95)*2</f>
        <v>101237.34375</v>
      </c>
      <c r="D37" s="107">
        <f t="shared" ref="D37:I37" si="43">((D35-D36)*0.95)*2</f>
        <v>105227.34375</v>
      </c>
      <c r="E37" s="107">
        <f t="shared" si="43"/>
        <v>109217.34375</v>
      </c>
      <c r="F37" s="107">
        <f t="shared" si="43"/>
        <v>113207.34375</v>
      </c>
      <c r="G37" s="107">
        <f t="shared" si="43"/>
        <v>115297.34375</v>
      </c>
      <c r="H37" s="107">
        <f t="shared" si="43"/>
        <v>117197.34375</v>
      </c>
      <c r="I37" s="107">
        <f t="shared" si="43"/>
        <v>121757.34375</v>
      </c>
    </row>
    <row r="38" spans="1:9" x14ac:dyDescent="0.2">
      <c r="A38" s="127"/>
      <c r="B38" s="39" t="s">
        <v>48</v>
      </c>
      <c r="C38" s="107">
        <f>(C35-C36)</f>
        <v>53282.8125</v>
      </c>
      <c r="D38" s="107">
        <f t="shared" ref="D38:I38" si="44">(D35-D36)</f>
        <v>55382.8125</v>
      </c>
      <c r="E38" s="107">
        <f t="shared" si="44"/>
        <v>57482.8125</v>
      </c>
      <c r="F38" s="107">
        <f t="shared" si="44"/>
        <v>59582.8125</v>
      </c>
      <c r="G38" s="107">
        <f t="shared" si="44"/>
        <v>60682.8125</v>
      </c>
      <c r="H38" s="107">
        <f t="shared" si="44"/>
        <v>61682.8125</v>
      </c>
      <c r="I38" s="107">
        <f t="shared" si="44"/>
        <v>64082.8125</v>
      </c>
    </row>
    <row r="39" spans="1:9" x14ac:dyDescent="0.2">
      <c r="A39" s="126" t="s">
        <v>41</v>
      </c>
      <c r="B39" s="19" t="s">
        <v>15</v>
      </c>
      <c r="C39" s="6">
        <f>C35*1.05</f>
        <v>67286.953125</v>
      </c>
      <c r="D39" s="6">
        <f t="shared" ref="D39:G39" si="45">C39</f>
        <v>67286.953125</v>
      </c>
      <c r="E39" s="6">
        <f t="shared" si="45"/>
        <v>67286.953125</v>
      </c>
      <c r="F39" s="6">
        <f t="shared" si="45"/>
        <v>67286.953125</v>
      </c>
      <c r="G39" s="6">
        <f t="shared" si="45"/>
        <v>67286.953125</v>
      </c>
      <c r="H39" s="6">
        <f>H35*1.05</f>
        <v>67286.953125</v>
      </c>
      <c r="I39" s="6">
        <f t="shared" ref="I39" si="46">H39</f>
        <v>67286.953125</v>
      </c>
    </row>
    <row r="40" spans="1:9" x14ac:dyDescent="0.2">
      <c r="A40" s="127"/>
      <c r="B40" s="19" t="s">
        <v>11</v>
      </c>
      <c r="C40" s="6">
        <f t="shared" ref="C40:I40" si="47">C36</f>
        <v>10800</v>
      </c>
      <c r="D40" s="6">
        <f t="shared" si="47"/>
        <v>8700</v>
      </c>
      <c r="E40" s="6">
        <f t="shared" si="47"/>
        <v>6600</v>
      </c>
      <c r="F40" s="6">
        <f t="shared" si="47"/>
        <v>4500</v>
      </c>
      <c r="G40" s="6">
        <f t="shared" si="47"/>
        <v>3400</v>
      </c>
      <c r="H40" s="6">
        <f t="shared" si="47"/>
        <v>2400</v>
      </c>
      <c r="I40" s="6">
        <f t="shared" si="47"/>
        <v>0</v>
      </c>
    </row>
    <row r="41" spans="1:9" x14ac:dyDescent="0.2">
      <c r="A41" s="127"/>
      <c r="B41" s="108" t="s">
        <v>47</v>
      </c>
      <c r="C41" s="109">
        <f>((C39-C40)*0.95)*2</f>
        <v>107325.2109375</v>
      </c>
      <c r="D41" s="109">
        <f t="shared" ref="D41:I41" si="48">((D39-D40)*0.95)*2</f>
        <v>111315.2109375</v>
      </c>
      <c r="E41" s="109">
        <f t="shared" si="48"/>
        <v>115305.2109375</v>
      </c>
      <c r="F41" s="109">
        <f t="shared" si="48"/>
        <v>119295.2109375</v>
      </c>
      <c r="G41" s="109">
        <f t="shared" si="48"/>
        <v>121385.2109375</v>
      </c>
      <c r="H41" s="109">
        <f t="shared" si="48"/>
        <v>123285.2109375</v>
      </c>
      <c r="I41" s="109">
        <f t="shared" si="48"/>
        <v>127845.2109375</v>
      </c>
    </row>
    <row r="42" spans="1:9" x14ac:dyDescent="0.2">
      <c r="A42" s="127"/>
      <c r="B42" s="40" t="s">
        <v>48</v>
      </c>
      <c r="C42" s="109">
        <f>(C39-C40)</f>
        <v>56486.953125</v>
      </c>
      <c r="D42" s="109">
        <f t="shared" ref="D42:I42" si="49">(D39-D40)</f>
        <v>58586.953125</v>
      </c>
      <c r="E42" s="109">
        <f t="shared" si="49"/>
        <v>60686.953125</v>
      </c>
      <c r="F42" s="109">
        <f t="shared" si="49"/>
        <v>62786.953125</v>
      </c>
      <c r="G42" s="109">
        <f t="shared" si="49"/>
        <v>63886.953125</v>
      </c>
      <c r="H42" s="109">
        <f t="shared" si="49"/>
        <v>64886.953125</v>
      </c>
      <c r="I42" s="109">
        <f t="shared" si="49"/>
        <v>67286.953125</v>
      </c>
    </row>
    <row r="43" spans="1:9" x14ac:dyDescent="0.2">
      <c r="A43" s="128" t="s">
        <v>13</v>
      </c>
      <c r="B43" s="128"/>
      <c r="C43" s="109">
        <f t="shared" ref="C43:I43" si="50">SUM(C29,C33,C37,C41)</f>
        <v>393919.4296875</v>
      </c>
      <c r="D43" s="109">
        <f t="shared" si="50"/>
        <v>409879.4296875</v>
      </c>
      <c r="E43" s="109">
        <f t="shared" si="50"/>
        <v>425839.4296875</v>
      </c>
      <c r="F43" s="109">
        <f t="shared" si="50"/>
        <v>441799.4296875</v>
      </c>
      <c r="G43" s="109">
        <f t="shared" si="50"/>
        <v>450159.4296875</v>
      </c>
      <c r="H43" s="109">
        <f t="shared" si="50"/>
        <v>457759.4296875</v>
      </c>
      <c r="I43" s="109">
        <f t="shared" si="50"/>
        <v>475999.4296875</v>
      </c>
    </row>
    <row r="44" spans="1:9" ht="17" customHeight="1" x14ac:dyDescent="0.2">
      <c r="A44" s="114" t="s">
        <v>104</v>
      </c>
      <c r="B44" s="114"/>
      <c r="C44" s="114"/>
      <c r="D44" s="114"/>
      <c r="E44" s="114"/>
      <c r="F44" s="114"/>
      <c r="G44" s="114"/>
      <c r="H44" s="114"/>
      <c r="I44" s="114"/>
    </row>
    <row r="45" spans="1:9" x14ac:dyDescent="0.2">
      <c r="A45" s="115" t="s">
        <v>17</v>
      </c>
      <c r="B45" s="115"/>
      <c r="C45" s="116" t="s">
        <v>18</v>
      </c>
      <c r="D45" s="116"/>
      <c r="E45" s="11">
        <v>5000</v>
      </c>
      <c r="F45" s="117"/>
      <c r="G45" s="117"/>
      <c r="H45" s="117"/>
      <c r="I45" s="117"/>
    </row>
    <row r="46" spans="1:9" ht="16" customHeight="1" x14ac:dyDescent="0.2">
      <c r="A46" s="115"/>
      <c r="B46" s="115"/>
      <c r="C46" s="116" t="s">
        <v>19</v>
      </c>
      <c r="D46" s="116"/>
      <c r="E46" s="11">
        <v>3000</v>
      </c>
      <c r="F46" s="117"/>
      <c r="G46" s="117"/>
      <c r="H46" s="117"/>
      <c r="I46" s="117"/>
    </row>
    <row r="47" spans="1:9" ht="16" customHeight="1" x14ac:dyDescent="0.2">
      <c r="A47" s="115"/>
      <c r="B47" s="115"/>
      <c r="C47" s="118" t="s">
        <v>20</v>
      </c>
      <c r="D47" s="118"/>
      <c r="E47" s="11">
        <v>5000</v>
      </c>
      <c r="F47" s="117"/>
      <c r="G47" s="117"/>
      <c r="H47" s="117"/>
      <c r="I47" s="117"/>
    </row>
    <row r="48" spans="1:9" ht="33" customHeight="1" x14ac:dyDescent="0.2">
      <c r="A48" s="26" t="s">
        <v>21</v>
      </c>
      <c r="B48" s="26" t="s">
        <v>22</v>
      </c>
      <c r="C48" s="27" t="s">
        <v>23</v>
      </c>
      <c r="D48" s="27" t="s">
        <v>24</v>
      </c>
      <c r="E48" s="27" t="s">
        <v>25</v>
      </c>
      <c r="F48" s="27" t="s">
        <v>26</v>
      </c>
      <c r="G48" s="26" t="s">
        <v>27</v>
      </c>
      <c r="H48" s="26" t="s">
        <v>29</v>
      </c>
      <c r="I48" s="119"/>
    </row>
    <row r="49" spans="1:9" ht="14.5" customHeight="1" x14ac:dyDescent="0.2">
      <c r="A49" s="21" t="s">
        <v>30</v>
      </c>
      <c r="B49" s="11">
        <f>B50*2</f>
        <v>9000</v>
      </c>
      <c r="C49" s="11">
        <f t="shared" ref="C49:G49" si="51">C50*2</f>
        <v>5000</v>
      </c>
      <c r="D49" s="11">
        <v>1000</v>
      </c>
      <c r="E49" s="11">
        <f t="shared" si="51"/>
        <v>1500</v>
      </c>
      <c r="F49" s="11">
        <f t="shared" si="51"/>
        <v>1000</v>
      </c>
      <c r="G49" s="11">
        <f t="shared" si="51"/>
        <v>1000</v>
      </c>
      <c r="H49" s="11">
        <f>SUM(B49:G49)</f>
        <v>18500</v>
      </c>
      <c r="I49" s="119"/>
    </row>
    <row r="50" spans="1:9" ht="14.5" customHeight="1" x14ac:dyDescent="0.2">
      <c r="A50" s="21" t="s">
        <v>31</v>
      </c>
      <c r="B50" s="11">
        <v>4500</v>
      </c>
      <c r="C50" s="11">
        <v>2500</v>
      </c>
      <c r="D50" s="11">
        <v>1000</v>
      </c>
      <c r="E50" s="11">
        <v>750</v>
      </c>
      <c r="F50" s="11">
        <v>500</v>
      </c>
      <c r="G50" s="11">
        <v>500</v>
      </c>
      <c r="H50" s="11">
        <f>SUM(B50:G50)</f>
        <v>9750</v>
      </c>
      <c r="I50" s="119"/>
    </row>
    <row r="51" spans="1:9" ht="23" customHeight="1" x14ac:dyDescent="0.2">
      <c r="A51" s="113" t="s">
        <v>45</v>
      </c>
      <c r="B51" s="113"/>
      <c r="C51" s="113"/>
      <c r="D51" s="113"/>
      <c r="E51" s="113"/>
      <c r="F51" s="113"/>
      <c r="G51" s="113"/>
      <c r="H51" s="113"/>
      <c r="I51" s="113"/>
    </row>
    <row r="52" spans="1:9" ht="22" customHeight="1" x14ac:dyDescent="0.2">
      <c r="A52" s="113" t="s">
        <v>46</v>
      </c>
      <c r="B52" s="113"/>
      <c r="C52" s="113"/>
      <c r="D52" s="113"/>
      <c r="E52" s="113"/>
      <c r="F52" s="113"/>
      <c r="G52" s="113"/>
      <c r="H52" s="113"/>
      <c r="I52" s="113"/>
    </row>
    <row r="53" spans="1:9" ht="41" customHeight="1" x14ac:dyDescent="0.2">
      <c r="A53" s="112" t="s">
        <v>43</v>
      </c>
      <c r="B53" s="112"/>
      <c r="C53" s="112"/>
      <c r="D53" s="112"/>
      <c r="E53" s="112"/>
      <c r="F53" s="112"/>
      <c r="G53" s="112"/>
      <c r="H53" s="112"/>
      <c r="I53" s="112"/>
    </row>
    <row r="54" spans="1:9" x14ac:dyDescent="0.2">
      <c r="A54" s="113" t="s">
        <v>32</v>
      </c>
      <c r="B54" s="113"/>
      <c r="C54" s="113"/>
      <c r="D54" s="113"/>
      <c r="E54" s="113"/>
      <c r="F54" s="113"/>
      <c r="G54" s="113"/>
      <c r="H54" s="113"/>
      <c r="I54" s="113"/>
    </row>
    <row r="55" spans="1:9" ht="28" customHeight="1" x14ac:dyDescent="0.2">
      <c r="A55" s="125" t="s">
        <v>80</v>
      </c>
      <c r="B55" s="125"/>
      <c r="C55" s="125"/>
      <c r="D55" s="125"/>
      <c r="E55" s="125"/>
      <c r="F55" s="125"/>
      <c r="G55" s="125"/>
      <c r="H55" s="125"/>
      <c r="I55" s="125"/>
    </row>
    <row r="56" spans="1:9" ht="13.5" customHeight="1" x14ac:dyDescent="0.2">
      <c r="A56" s="124" t="s">
        <v>102</v>
      </c>
      <c r="B56" s="124"/>
      <c r="C56" s="124"/>
      <c r="D56" s="124"/>
      <c r="E56" s="124"/>
      <c r="F56" s="124"/>
      <c r="G56" s="124"/>
      <c r="H56" s="124"/>
      <c r="I56" s="124"/>
    </row>
    <row r="58" spans="1:9" ht="28.75" customHeight="1" x14ac:dyDescent="0.2"/>
    <row r="59" spans="1:9" ht="39" customHeight="1" x14ac:dyDescent="0.2"/>
  </sheetData>
  <mergeCells count="27">
    <mergeCell ref="A4:I4"/>
    <mergeCell ref="A1:I1"/>
    <mergeCell ref="A26:I26"/>
    <mergeCell ref="A56:I56"/>
    <mergeCell ref="A55:I55"/>
    <mergeCell ref="A2:I2"/>
    <mergeCell ref="A5:A9"/>
    <mergeCell ref="A10:A14"/>
    <mergeCell ref="A25:B25"/>
    <mergeCell ref="A20:A24"/>
    <mergeCell ref="A15:A19"/>
    <mergeCell ref="A27:A30"/>
    <mergeCell ref="A31:A34"/>
    <mergeCell ref="A35:A38"/>
    <mergeCell ref="A39:A42"/>
    <mergeCell ref="A43:B43"/>
    <mergeCell ref="A53:I53"/>
    <mergeCell ref="A54:I54"/>
    <mergeCell ref="A44:I44"/>
    <mergeCell ref="A45:B47"/>
    <mergeCell ref="C45:D45"/>
    <mergeCell ref="F45:I47"/>
    <mergeCell ref="C46:D46"/>
    <mergeCell ref="C47:D47"/>
    <mergeCell ref="I48:I50"/>
    <mergeCell ref="A51:I51"/>
    <mergeCell ref="A52:I52"/>
  </mergeCells>
  <pageMargins left="0.7" right="0.7" top="0.75" bottom="0.75" header="0.3" footer="0.3"/>
  <pageSetup paperSize="9" scale="3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73C24-9A2D-AB4B-9F78-A06C4E7A6210}">
  <dimension ref="A1:AA69"/>
  <sheetViews>
    <sheetView topLeftCell="B14" zoomScale="125" zoomScaleNormal="62" workbookViewId="0">
      <selection activeCell="A68" sqref="A68:I68"/>
    </sheetView>
  </sheetViews>
  <sheetFormatPr baseColWidth="10" defaultColWidth="8.83203125" defaultRowHeight="16" x14ac:dyDescent="0.2"/>
  <cols>
    <col min="1" max="1" width="17.33203125" customWidth="1"/>
    <col min="2" max="2" width="23" bestFit="1" customWidth="1"/>
    <col min="3" max="3" width="41.1640625" bestFit="1" customWidth="1"/>
    <col min="4" max="4" width="16.83203125" customWidth="1"/>
    <col min="5" max="5" width="15.1640625" customWidth="1"/>
    <col min="6" max="6" width="14.83203125" customWidth="1"/>
    <col min="7" max="7" width="18.1640625" customWidth="1"/>
    <col min="8" max="11" width="16.6640625" customWidth="1"/>
  </cols>
  <sheetData>
    <row r="1" spans="1:16" x14ac:dyDescent="0.2">
      <c r="A1" s="119"/>
      <c r="B1" s="119"/>
      <c r="C1" s="119"/>
      <c r="D1" s="119"/>
      <c r="E1" s="119"/>
      <c r="F1" s="119"/>
      <c r="G1" s="119"/>
      <c r="H1" s="119"/>
      <c r="I1" s="119"/>
      <c r="J1" s="119"/>
    </row>
    <row r="2" spans="1:16" x14ac:dyDescent="0.2">
      <c r="A2" s="119"/>
      <c r="B2" s="119"/>
      <c r="C2" s="119"/>
      <c r="D2" s="119"/>
      <c r="E2" s="119"/>
      <c r="F2" s="119"/>
      <c r="G2" s="119"/>
      <c r="H2" s="119"/>
      <c r="I2" s="119"/>
      <c r="J2" s="119"/>
    </row>
    <row r="3" spans="1:16" x14ac:dyDescent="0.2">
      <c r="A3" s="119"/>
      <c r="B3" s="119"/>
      <c r="C3" s="119"/>
      <c r="D3" s="119"/>
      <c r="E3" s="119"/>
      <c r="F3" s="119"/>
      <c r="G3" s="119"/>
      <c r="H3" s="119"/>
      <c r="I3" s="119"/>
      <c r="J3" s="119"/>
    </row>
    <row r="4" spans="1:16" x14ac:dyDescent="0.2">
      <c r="A4" s="119"/>
      <c r="B4" s="119"/>
      <c r="C4" s="119"/>
      <c r="D4" s="119"/>
      <c r="E4" s="119"/>
      <c r="F4" s="119"/>
      <c r="G4" s="119"/>
      <c r="H4" s="119"/>
      <c r="I4" s="119"/>
      <c r="J4" s="119"/>
    </row>
    <row r="5" spans="1:16" x14ac:dyDescent="0.2">
      <c r="A5" s="119"/>
      <c r="B5" s="119"/>
      <c r="C5" s="119"/>
      <c r="D5" s="119"/>
      <c r="E5" s="119"/>
      <c r="F5" s="119"/>
      <c r="G5" s="119"/>
      <c r="H5" s="119"/>
      <c r="I5" s="119"/>
      <c r="J5" s="119"/>
    </row>
    <row r="6" spans="1:16" x14ac:dyDescent="0.2">
      <c r="A6" s="119"/>
      <c r="B6" s="119"/>
      <c r="C6" s="119"/>
      <c r="D6" s="119"/>
      <c r="E6" s="119"/>
      <c r="F6" s="119"/>
      <c r="G6" s="119"/>
      <c r="H6" s="119"/>
      <c r="I6" s="119"/>
      <c r="J6" s="119"/>
    </row>
    <row r="7" spans="1:16" x14ac:dyDescent="0.2">
      <c r="A7" s="119"/>
      <c r="B7" s="119"/>
      <c r="C7" s="119"/>
      <c r="D7" s="119"/>
      <c r="E7" s="119"/>
      <c r="F7" s="119"/>
      <c r="G7" s="119"/>
      <c r="H7" s="119"/>
      <c r="I7" s="119"/>
      <c r="J7" s="119"/>
    </row>
    <row r="8" spans="1:16" x14ac:dyDescent="0.2">
      <c r="A8" s="119"/>
      <c r="B8" s="119"/>
      <c r="C8" s="119"/>
      <c r="D8" s="119"/>
      <c r="E8" s="119"/>
      <c r="F8" s="119"/>
      <c r="G8" s="119"/>
      <c r="H8" s="119"/>
      <c r="I8" s="119"/>
      <c r="J8" s="119"/>
    </row>
    <row r="9" spans="1:16" x14ac:dyDescent="0.2">
      <c r="A9" s="119"/>
      <c r="B9" s="119"/>
      <c r="C9" s="119"/>
      <c r="D9" s="119"/>
      <c r="E9" s="119"/>
      <c r="F9" s="119"/>
      <c r="G9" s="119"/>
      <c r="H9" s="119"/>
      <c r="I9" s="119"/>
      <c r="J9" s="119"/>
    </row>
    <row r="10" spans="1:16" x14ac:dyDescent="0.2">
      <c r="A10" s="119"/>
      <c r="B10" s="119"/>
      <c r="C10" s="119"/>
      <c r="D10" s="119"/>
      <c r="E10" s="119"/>
      <c r="F10" s="119"/>
      <c r="G10" s="119"/>
      <c r="H10" s="119"/>
      <c r="I10" s="119"/>
      <c r="J10" s="119"/>
    </row>
    <row r="11" spans="1:16" ht="14.5" customHeight="1" x14ac:dyDescent="0.2">
      <c r="A11" s="151" t="s">
        <v>73</v>
      </c>
      <c r="B11" s="152"/>
      <c r="C11" s="152"/>
      <c r="D11" s="152"/>
      <c r="E11" s="152"/>
      <c r="F11" s="152"/>
      <c r="G11" s="152"/>
      <c r="H11" s="152"/>
      <c r="I11" s="152"/>
      <c r="J11" s="153"/>
    </row>
    <row r="12" spans="1:16" ht="14.5" customHeight="1" x14ac:dyDescent="0.2">
      <c r="A12" s="154"/>
      <c r="B12" s="155"/>
      <c r="C12" s="155"/>
      <c r="D12" s="155"/>
      <c r="E12" s="155"/>
      <c r="F12" s="155"/>
      <c r="G12" s="155"/>
      <c r="H12" s="155"/>
      <c r="I12" s="155"/>
      <c r="J12" s="156"/>
    </row>
    <row r="13" spans="1:16" ht="14.5" customHeight="1" x14ac:dyDescent="0.2">
      <c r="A13" s="154"/>
      <c r="B13" s="155"/>
      <c r="C13" s="155"/>
      <c r="D13" s="155"/>
      <c r="E13" s="155"/>
      <c r="F13" s="155"/>
      <c r="G13" s="155"/>
      <c r="H13" s="155"/>
      <c r="I13" s="155"/>
      <c r="J13" s="156"/>
    </row>
    <row r="14" spans="1:16" ht="147" customHeight="1" x14ac:dyDescent="0.2">
      <c r="A14" s="157"/>
      <c r="B14" s="158"/>
      <c r="C14" s="158"/>
      <c r="D14" s="158"/>
      <c r="E14" s="158"/>
      <c r="F14" s="158"/>
      <c r="G14" s="158"/>
      <c r="H14" s="158"/>
      <c r="I14" s="158"/>
      <c r="J14" s="159"/>
    </row>
    <row r="15" spans="1:16" ht="85.25" customHeight="1" thickBot="1" x14ac:dyDescent="0.25">
      <c r="A15" s="144" t="s">
        <v>0</v>
      </c>
      <c r="B15" s="1" t="s">
        <v>1</v>
      </c>
      <c r="C15" s="2" t="s">
        <v>2</v>
      </c>
      <c r="D15" s="3" t="s">
        <v>33</v>
      </c>
      <c r="E15" s="3" t="s">
        <v>34</v>
      </c>
      <c r="F15" s="3" t="s">
        <v>35</v>
      </c>
      <c r="G15" s="3" t="s">
        <v>36</v>
      </c>
      <c r="H15" s="20" t="s">
        <v>37</v>
      </c>
      <c r="I15" s="20" t="s">
        <v>42</v>
      </c>
      <c r="J15" s="144" t="s">
        <v>9</v>
      </c>
    </row>
    <row r="16" spans="1:16" x14ac:dyDescent="0.2">
      <c r="A16" s="145"/>
      <c r="B16" s="132" t="s">
        <v>38</v>
      </c>
      <c r="C16" s="34" t="s">
        <v>10</v>
      </c>
      <c r="D16" s="6">
        <v>124100</v>
      </c>
      <c r="E16" s="6">
        <f>D16</f>
        <v>124100</v>
      </c>
      <c r="F16" s="6">
        <f t="shared" ref="F16:I16" si="0">E16</f>
        <v>124100</v>
      </c>
      <c r="G16" s="7">
        <f t="shared" si="0"/>
        <v>124100</v>
      </c>
      <c r="H16" s="7">
        <f t="shared" si="0"/>
        <v>124100</v>
      </c>
      <c r="I16" s="7">
        <f t="shared" si="0"/>
        <v>124100</v>
      </c>
      <c r="J16" s="145"/>
      <c r="K16" s="24"/>
      <c r="L16" s="24"/>
      <c r="M16" s="24"/>
      <c r="N16" s="24"/>
      <c r="O16" s="24"/>
      <c r="P16" s="24"/>
    </row>
    <row r="17" spans="1:27" x14ac:dyDescent="0.2">
      <c r="A17" s="145"/>
      <c r="B17" s="133"/>
      <c r="C17" s="34" t="s">
        <v>11</v>
      </c>
      <c r="D17" s="6">
        <v>28000</v>
      </c>
      <c r="E17" s="6">
        <v>24800</v>
      </c>
      <c r="F17" s="6">
        <v>21700</v>
      </c>
      <c r="G17" s="7">
        <v>18500</v>
      </c>
      <c r="H17" s="7">
        <v>15500</v>
      </c>
      <c r="I17" s="7">
        <v>12200</v>
      </c>
      <c r="J17" s="145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spans="1:27" x14ac:dyDescent="0.2">
      <c r="A18" s="145"/>
      <c r="B18" s="133"/>
      <c r="C18" s="35" t="s">
        <v>44</v>
      </c>
      <c r="D18" s="30">
        <v>15500</v>
      </c>
      <c r="E18" s="30">
        <f>D18</f>
        <v>15500</v>
      </c>
      <c r="F18" s="30">
        <f t="shared" ref="F18:I18" si="1">E18</f>
        <v>15500</v>
      </c>
      <c r="G18" s="30">
        <f t="shared" si="1"/>
        <v>15500</v>
      </c>
      <c r="H18" s="30">
        <f t="shared" si="1"/>
        <v>15500</v>
      </c>
      <c r="I18" s="30">
        <f t="shared" si="1"/>
        <v>15500</v>
      </c>
      <c r="J18" s="14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spans="1:27" x14ac:dyDescent="0.2">
      <c r="A19" s="145"/>
      <c r="B19" s="133"/>
      <c r="C19" s="35" t="s">
        <v>47</v>
      </c>
      <c r="D19" s="30">
        <f>(((D16-D17)*0.95)*2)-D18*2</f>
        <v>151590</v>
      </c>
      <c r="E19" s="30">
        <f t="shared" ref="E19:I19" si="2">(((E16-E17)*0.95)*2)-E18*2</f>
        <v>157670</v>
      </c>
      <c r="F19" s="30">
        <f t="shared" si="2"/>
        <v>163560</v>
      </c>
      <c r="G19" s="30">
        <f t="shared" si="2"/>
        <v>169640</v>
      </c>
      <c r="H19" s="30">
        <f t="shared" si="2"/>
        <v>175340</v>
      </c>
      <c r="I19" s="30">
        <f t="shared" si="2"/>
        <v>181610</v>
      </c>
      <c r="J19" s="145"/>
      <c r="K19" s="24"/>
      <c r="L19" s="24"/>
      <c r="M19" s="24"/>
      <c r="N19" s="24"/>
      <c r="O19" s="24"/>
      <c r="P19" s="24"/>
    </row>
    <row r="20" spans="1:27" ht="17" thickBot="1" x14ac:dyDescent="0.25">
      <c r="A20" s="145"/>
      <c r="B20" s="133"/>
      <c r="C20" s="35" t="s">
        <v>48</v>
      </c>
      <c r="D20" s="30">
        <f>(D16-D17)-D18</f>
        <v>80600</v>
      </c>
      <c r="E20" s="30">
        <f t="shared" ref="E20:I20" si="3">(E16-E17)-E18</f>
        <v>83800</v>
      </c>
      <c r="F20" s="30">
        <f t="shared" si="3"/>
        <v>86900</v>
      </c>
      <c r="G20" s="30">
        <f t="shared" si="3"/>
        <v>90100</v>
      </c>
      <c r="H20" s="30">
        <f t="shared" si="3"/>
        <v>93100</v>
      </c>
      <c r="I20" s="30">
        <f t="shared" si="3"/>
        <v>96400</v>
      </c>
      <c r="J20" s="145"/>
      <c r="K20" s="24"/>
      <c r="L20" s="24"/>
      <c r="M20" s="24"/>
      <c r="N20" s="24"/>
      <c r="O20" s="24"/>
      <c r="P20" s="24"/>
    </row>
    <row r="21" spans="1:27" ht="16" customHeight="1" x14ac:dyDescent="0.2">
      <c r="A21" s="145"/>
      <c r="B21" s="132" t="s">
        <v>39</v>
      </c>
      <c r="C21" s="34" t="s">
        <v>12</v>
      </c>
      <c r="D21" s="6">
        <v>128650</v>
      </c>
      <c r="E21" s="6">
        <f t="shared" ref="E21:I21" si="4">D21</f>
        <v>128650</v>
      </c>
      <c r="F21" s="6">
        <f t="shared" si="4"/>
        <v>128650</v>
      </c>
      <c r="G21" s="7">
        <f t="shared" si="4"/>
        <v>128650</v>
      </c>
      <c r="H21" s="7">
        <f t="shared" si="4"/>
        <v>128650</v>
      </c>
      <c r="I21" s="7">
        <f t="shared" si="4"/>
        <v>128650</v>
      </c>
      <c r="J21" s="145"/>
      <c r="K21" s="24"/>
      <c r="L21" s="24"/>
      <c r="M21" s="24"/>
      <c r="N21" s="24"/>
      <c r="O21" s="24"/>
      <c r="P21" s="24"/>
    </row>
    <row r="22" spans="1:27" x14ac:dyDescent="0.2">
      <c r="A22" s="145"/>
      <c r="B22" s="133"/>
      <c r="C22" s="34" t="s">
        <v>11</v>
      </c>
      <c r="D22" s="6">
        <f t="shared" ref="D22:I22" si="5">D17</f>
        <v>28000</v>
      </c>
      <c r="E22" s="6">
        <f t="shared" si="5"/>
        <v>24800</v>
      </c>
      <c r="F22" s="6">
        <f t="shared" si="5"/>
        <v>21700</v>
      </c>
      <c r="G22" s="7">
        <f t="shared" si="5"/>
        <v>18500</v>
      </c>
      <c r="H22" s="7">
        <f t="shared" si="5"/>
        <v>15500</v>
      </c>
      <c r="I22" s="7">
        <f t="shared" si="5"/>
        <v>12200</v>
      </c>
      <c r="J22" s="145"/>
    </row>
    <row r="23" spans="1:27" x14ac:dyDescent="0.2">
      <c r="A23" s="145"/>
      <c r="B23" s="133"/>
      <c r="C23" s="36" t="s">
        <v>44</v>
      </c>
      <c r="D23" s="31">
        <f>D18</f>
        <v>15500</v>
      </c>
      <c r="E23" s="31">
        <f>D23</f>
        <v>15500</v>
      </c>
      <c r="F23" s="31">
        <f t="shared" ref="F23:I23" si="6">E23</f>
        <v>15500</v>
      </c>
      <c r="G23" s="31">
        <f t="shared" si="6"/>
        <v>15500</v>
      </c>
      <c r="H23" s="31">
        <f t="shared" si="6"/>
        <v>15500</v>
      </c>
      <c r="I23" s="31">
        <f t="shared" si="6"/>
        <v>15500</v>
      </c>
      <c r="J23" s="145"/>
    </row>
    <row r="24" spans="1:27" x14ac:dyDescent="0.2">
      <c r="A24" s="145"/>
      <c r="B24" s="133"/>
      <c r="C24" s="36" t="s">
        <v>47</v>
      </c>
      <c r="D24" s="31">
        <f>(((D21-D22)*0.95)*2)-D23*2</f>
        <v>160235</v>
      </c>
      <c r="E24" s="31">
        <f t="shared" ref="E24:I24" si="7">(((E21-E22)*0.95)*2)-E23*2</f>
        <v>166315</v>
      </c>
      <c r="F24" s="31">
        <f t="shared" si="7"/>
        <v>172205</v>
      </c>
      <c r="G24" s="31">
        <f t="shared" si="7"/>
        <v>178285</v>
      </c>
      <c r="H24" s="31">
        <f t="shared" si="7"/>
        <v>183985</v>
      </c>
      <c r="I24" s="31">
        <f t="shared" si="7"/>
        <v>190255</v>
      </c>
      <c r="J24" s="145"/>
    </row>
    <row r="25" spans="1:27" ht="17" thickBot="1" x14ac:dyDescent="0.25">
      <c r="A25" s="145"/>
      <c r="B25" s="133"/>
      <c r="C25" s="36" t="s">
        <v>48</v>
      </c>
      <c r="D25" s="31">
        <f>(D21-D22)-D23</f>
        <v>85150</v>
      </c>
      <c r="E25" s="31">
        <f t="shared" ref="E25:I25" si="8">(E21-E22)-E23</f>
        <v>88350</v>
      </c>
      <c r="F25" s="31">
        <f t="shared" si="8"/>
        <v>91450</v>
      </c>
      <c r="G25" s="31">
        <f t="shared" si="8"/>
        <v>94650</v>
      </c>
      <c r="H25" s="31">
        <f t="shared" si="8"/>
        <v>97650</v>
      </c>
      <c r="I25" s="31">
        <f t="shared" si="8"/>
        <v>100950</v>
      </c>
      <c r="J25" s="145"/>
    </row>
    <row r="26" spans="1:27" x14ac:dyDescent="0.2">
      <c r="A26" s="145"/>
      <c r="B26" s="132" t="s">
        <v>40</v>
      </c>
      <c r="C26" s="34" t="s">
        <v>12</v>
      </c>
      <c r="D26" s="6">
        <f>D21*1.05</f>
        <v>135082.5</v>
      </c>
      <c r="E26" s="6">
        <f t="shared" ref="E26:I26" si="9">D26</f>
        <v>135082.5</v>
      </c>
      <c r="F26" s="6">
        <f t="shared" si="9"/>
        <v>135082.5</v>
      </c>
      <c r="G26" s="7">
        <f t="shared" si="9"/>
        <v>135082.5</v>
      </c>
      <c r="H26" s="7">
        <f t="shared" si="9"/>
        <v>135082.5</v>
      </c>
      <c r="I26" s="7">
        <f t="shared" si="9"/>
        <v>135082.5</v>
      </c>
      <c r="J26" s="145"/>
    </row>
    <row r="27" spans="1:27" x14ac:dyDescent="0.2">
      <c r="A27" s="145"/>
      <c r="B27" s="133"/>
      <c r="C27" s="34" t="s">
        <v>11</v>
      </c>
      <c r="D27" s="6">
        <f t="shared" ref="D27:I27" si="10">D22</f>
        <v>28000</v>
      </c>
      <c r="E27" s="6">
        <f t="shared" si="10"/>
        <v>24800</v>
      </c>
      <c r="F27" s="6">
        <f t="shared" si="10"/>
        <v>21700</v>
      </c>
      <c r="G27" s="7">
        <f t="shared" si="10"/>
        <v>18500</v>
      </c>
      <c r="H27" s="7">
        <f t="shared" si="10"/>
        <v>15500</v>
      </c>
      <c r="I27" s="7">
        <f t="shared" si="10"/>
        <v>12200</v>
      </c>
      <c r="J27" s="145"/>
    </row>
    <row r="28" spans="1:27" x14ac:dyDescent="0.2">
      <c r="A28" s="145"/>
      <c r="B28" s="133"/>
      <c r="C28" s="37" t="s">
        <v>44</v>
      </c>
      <c r="D28" s="32">
        <f>D18</f>
        <v>15500</v>
      </c>
      <c r="E28" s="32">
        <f>D28</f>
        <v>15500</v>
      </c>
      <c r="F28" s="32">
        <f t="shared" ref="F28:I28" si="11">E28</f>
        <v>15500</v>
      </c>
      <c r="G28" s="32">
        <f t="shared" si="11"/>
        <v>15500</v>
      </c>
      <c r="H28" s="32">
        <f t="shared" si="11"/>
        <v>15500</v>
      </c>
      <c r="I28" s="32">
        <f t="shared" si="11"/>
        <v>15500</v>
      </c>
      <c r="J28" s="145"/>
    </row>
    <row r="29" spans="1:27" x14ac:dyDescent="0.2">
      <c r="A29" s="145"/>
      <c r="B29" s="133"/>
      <c r="C29" s="37" t="s">
        <v>47</v>
      </c>
      <c r="D29" s="32">
        <f>(((D26-D27)*0.95)*2)-D28*2</f>
        <v>172456.75</v>
      </c>
      <c r="E29" s="32">
        <f t="shared" ref="E29:I29" si="12">(((E26-E27)*0.95)*2)-E28*2</f>
        <v>178536.75</v>
      </c>
      <c r="F29" s="32">
        <f t="shared" si="12"/>
        <v>184426.75</v>
      </c>
      <c r="G29" s="32">
        <f t="shared" si="12"/>
        <v>190506.75</v>
      </c>
      <c r="H29" s="32">
        <f t="shared" si="12"/>
        <v>196206.75</v>
      </c>
      <c r="I29" s="32">
        <f t="shared" si="12"/>
        <v>202476.75</v>
      </c>
      <c r="J29" s="145"/>
    </row>
    <row r="30" spans="1:27" ht="17" thickBot="1" x14ac:dyDescent="0.25">
      <c r="A30" s="145"/>
      <c r="B30" s="133"/>
      <c r="C30" s="37" t="s">
        <v>48</v>
      </c>
      <c r="D30" s="32">
        <f>(D26-D27)-D28</f>
        <v>91582.5</v>
      </c>
      <c r="E30" s="32">
        <f t="shared" ref="E30:I30" si="13">(E26-E27)-E28</f>
        <v>94782.5</v>
      </c>
      <c r="F30" s="32">
        <f t="shared" si="13"/>
        <v>97882.5</v>
      </c>
      <c r="G30" s="32">
        <f t="shared" si="13"/>
        <v>101082.5</v>
      </c>
      <c r="H30" s="32">
        <f t="shared" si="13"/>
        <v>104082.5</v>
      </c>
      <c r="I30" s="32">
        <f t="shared" si="13"/>
        <v>107382.5</v>
      </c>
      <c r="J30" s="145"/>
    </row>
    <row r="31" spans="1:27" x14ac:dyDescent="0.2">
      <c r="A31" s="145"/>
      <c r="B31" s="132" t="s">
        <v>41</v>
      </c>
      <c r="C31" s="34" t="s">
        <v>12</v>
      </c>
      <c r="D31" s="6">
        <f>D26*1.05</f>
        <v>141836.625</v>
      </c>
      <c r="E31" s="6">
        <f t="shared" ref="E31:I31" si="14">D31</f>
        <v>141836.625</v>
      </c>
      <c r="F31" s="6">
        <f t="shared" si="14"/>
        <v>141836.625</v>
      </c>
      <c r="G31" s="7">
        <f t="shared" si="14"/>
        <v>141836.625</v>
      </c>
      <c r="H31" s="7">
        <f t="shared" si="14"/>
        <v>141836.625</v>
      </c>
      <c r="I31" s="7">
        <f t="shared" si="14"/>
        <v>141836.625</v>
      </c>
      <c r="J31" s="145"/>
    </row>
    <row r="32" spans="1:27" x14ac:dyDescent="0.2">
      <c r="A32" s="145"/>
      <c r="B32" s="133"/>
      <c r="C32" s="34" t="s">
        <v>11</v>
      </c>
      <c r="D32" s="6">
        <f t="shared" ref="D32:I32" si="15">D27</f>
        <v>28000</v>
      </c>
      <c r="E32" s="6">
        <f t="shared" si="15"/>
        <v>24800</v>
      </c>
      <c r="F32" s="6">
        <f t="shared" si="15"/>
        <v>21700</v>
      </c>
      <c r="G32" s="7">
        <f t="shared" si="15"/>
        <v>18500</v>
      </c>
      <c r="H32" s="7">
        <f t="shared" si="15"/>
        <v>15500</v>
      </c>
      <c r="I32" s="7">
        <f t="shared" si="15"/>
        <v>12200</v>
      </c>
      <c r="J32" s="145"/>
    </row>
    <row r="33" spans="1:16" x14ac:dyDescent="0.2">
      <c r="A33" s="145"/>
      <c r="B33" s="133"/>
      <c r="C33" s="38" t="s">
        <v>44</v>
      </c>
      <c r="D33" s="33">
        <f>D18</f>
        <v>15500</v>
      </c>
      <c r="E33" s="33">
        <f>D33</f>
        <v>15500</v>
      </c>
      <c r="F33" s="33">
        <f t="shared" ref="F33:I33" si="16">E33</f>
        <v>15500</v>
      </c>
      <c r="G33" s="33">
        <f t="shared" si="16"/>
        <v>15500</v>
      </c>
      <c r="H33" s="33">
        <f t="shared" si="16"/>
        <v>15500</v>
      </c>
      <c r="I33" s="33">
        <f t="shared" si="16"/>
        <v>15500</v>
      </c>
      <c r="J33" s="145"/>
    </row>
    <row r="34" spans="1:16" x14ac:dyDescent="0.2">
      <c r="A34" s="145"/>
      <c r="B34" s="133"/>
      <c r="C34" s="38" t="s">
        <v>47</v>
      </c>
      <c r="D34" s="33">
        <f>(((D31-D32)*0.95)*2)-D33*2</f>
        <v>185289.58749999999</v>
      </c>
      <c r="E34" s="33">
        <f t="shared" ref="E34:H34" si="17">(((E31-E32)*0.95)*2)-E33*2</f>
        <v>191369.58749999999</v>
      </c>
      <c r="F34" s="33">
        <f t="shared" si="17"/>
        <v>197259.58749999999</v>
      </c>
      <c r="G34" s="33">
        <f t="shared" si="17"/>
        <v>203339.58749999999</v>
      </c>
      <c r="H34" s="33">
        <f t="shared" si="17"/>
        <v>209039.58749999999</v>
      </c>
      <c r="I34" s="33">
        <f>(((I31-I32)*0.95)*2)-I33*2</f>
        <v>215309.58749999999</v>
      </c>
      <c r="J34" s="145"/>
    </row>
    <row r="35" spans="1:16" x14ac:dyDescent="0.2">
      <c r="A35" s="145"/>
      <c r="B35" s="133"/>
      <c r="C35" s="38" t="s">
        <v>48</v>
      </c>
      <c r="D35" s="33">
        <f>(D31-D32)-D33</f>
        <v>98336.625</v>
      </c>
      <c r="E35" s="33">
        <f t="shared" ref="E35:I35" si="18">(E31-E32)-E33</f>
        <v>101536.625</v>
      </c>
      <c r="F35" s="33">
        <f t="shared" si="18"/>
        <v>104636.625</v>
      </c>
      <c r="G35" s="33">
        <f t="shared" si="18"/>
        <v>107836.625</v>
      </c>
      <c r="H35" s="33">
        <f t="shared" si="18"/>
        <v>110836.625</v>
      </c>
      <c r="I35" s="33">
        <f t="shared" si="18"/>
        <v>114136.625</v>
      </c>
      <c r="J35" s="145"/>
    </row>
    <row r="36" spans="1:16" x14ac:dyDescent="0.2">
      <c r="A36" s="146"/>
      <c r="B36" s="149" t="s">
        <v>13</v>
      </c>
      <c r="C36" s="150"/>
      <c r="D36" s="33">
        <f t="shared" ref="D36:I36" si="19">SUM(D19,D24,D29,D34)</f>
        <v>669571.33750000002</v>
      </c>
      <c r="E36" s="33">
        <f t="shared" si="19"/>
        <v>693891.33750000002</v>
      </c>
      <c r="F36" s="33">
        <f t="shared" si="19"/>
        <v>717451.33750000002</v>
      </c>
      <c r="G36" s="33">
        <f t="shared" si="19"/>
        <v>741771.33750000002</v>
      </c>
      <c r="H36" s="33">
        <f t="shared" si="19"/>
        <v>764571.33750000002</v>
      </c>
      <c r="I36" s="33">
        <f t="shared" si="19"/>
        <v>789651.33750000002</v>
      </c>
      <c r="J36" s="145"/>
    </row>
    <row r="37" spans="1:16" ht="17" thickBot="1" x14ac:dyDescent="0.25">
      <c r="J37" s="145"/>
      <c r="K37" s="24"/>
      <c r="L37" s="24"/>
      <c r="M37" s="24"/>
      <c r="N37" s="24"/>
      <c r="O37" s="24"/>
      <c r="P37" s="24"/>
    </row>
    <row r="38" spans="1:16" x14ac:dyDescent="0.2">
      <c r="A38" s="142" t="s">
        <v>14</v>
      </c>
      <c r="B38" s="132" t="s">
        <v>38</v>
      </c>
      <c r="C38" s="19" t="s">
        <v>15</v>
      </c>
      <c r="D38" s="6">
        <f>D16*0.75</f>
        <v>93075</v>
      </c>
      <c r="E38" s="6">
        <f t="shared" ref="E38:I38" si="20">D38</f>
        <v>93075</v>
      </c>
      <c r="F38" s="6">
        <f t="shared" si="20"/>
        <v>93075</v>
      </c>
      <c r="G38" s="6">
        <f t="shared" si="20"/>
        <v>93075</v>
      </c>
      <c r="H38" s="7">
        <f t="shared" si="20"/>
        <v>93075</v>
      </c>
      <c r="I38" s="7">
        <f t="shared" si="20"/>
        <v>93075</v>
      </c>
      <c r="J38" s="145"/>
    </row>
    <row r="39" spans="1:16" x14ac:dyDescent="0.2">
      <c r="A39" s="143"/>
      <c r="B39" s="133"/>
      <c r="C39" s="19" t="s">
        <v>11</v>
      </c>
      <c r="D39" s="6">
        <v>28000</v>
      </c>
      <c r="E39" s="6">
        <v>24800</v>
      </c>
      <c r="F39" s="6">
        <v>21700</v>
      </c>
      <c r="G39" s="6">
        <v>18500</v>
      </c>
      <c r="H39" s="7">
        <v>15500</v>
      </c>
      <c r="I39" s="7">
        <v>12200</v>
      </c>
      <c r="J39" s="145"/>
    </row>
    <row r="40" spans="1:16" x14ac:dyDescent="0.2">
      <c r="A40" s="143"/>
      <c r="B40" s="133"/>
      <c r="C40" s="29" t="s">
        <v>47</v>
      </c>
      <c r="D40" s="30">
        <f>((D38-D39)*0.95)*2</f>
        <v>123642.5</v>
      </c>
      <c r="E40" s="30">
        <f t="shared" ref="E40:H40" si="21">((E38-E39)*0.95)*2</f>
        <v>129722.5</v>
      </c>
      <c r="F40" s="30">
        <f t="shared" si="21"/>
        <v>135612.5</v>
      </c>
      <c r="G40" s="30">
        <f t="shared" si="21"/>
        <v>141692.5</v>
      </c>
      <c r="H40" s="30">
        <f t="shared" si="21"/>
        <v>147392.5</v>
      </c>
      <c r="I40" s="30">
        <f>((I38-I39)*0.95)*2</f>
        <v>153662.5</v>
      </c>
      <c r="J40" s="145"/>
      <c r="K40" s="24"/>
      <c r="L40" s="24"/>
      <c r="M40" s="24"/>
      <c r="N40" s="24"/>
      <c r="O40" s="24"/>
    </row>
    <row r="41" spans="1:16" ht="17" thickBot="1" x14ac:dyDescent="0.25">
      <c r="A41" s="143"/>
      <c r="B41" s="133"/>
      <c r="C41" s="29" t="s">
        <v>48</v>
      </c>
      <c r="D41" s="30">
        <f>(D38-D39)</f>
        <v>65075</v>
      </c>
      <c r="E41" s="30">
        <f t="shared" ref="E41:I41" si="22">(E38-E39)</f>
        <v>68275</v>
      </c>
      <c r="F41" s="30">
        <f t="shared" si="22"/>
        <v>71375</v>
      </c>
      <c r="G41" s="30">
        <f t="shared" si="22"/>
        <v>74575</v>
      </c>
      <c r="H41" s="30">
        <f t="shared" si="22"/>
        <v>77575</v>
      </c>
      <c r="I41" s="30">
        <f t="shared" si="22"/>
        <v>80875</v>
      </c>
      <c r="J41" s="145"/>
      <c r="K41" s="24"/>
      <c r="L41" s="24"/>
      <c r="M41" s="24"/>
      <c r="N41" s="24"/>
      <c r="O41" s="24"/>
      <c r="P41" s="24"/>
    </row>
    <row r="42" spans="1:16" x14ac:dyDescent="0.2">
      <c r="A42" s="143"/>
      <c r="B42" s="132" t="s">
        <v>39</v>
      </c>
      <c r="C42" s="4" t="s">
        <v>15</v>
      </c>
      <c r="D42" s="6">
        <f>D21*0.75</f>
        <v>96487.5</v>
      </c>
      <c r="E42" s="6">
        <f t="shared" ref="E42:I42" si="23">D42</f>
        <v>96487.5</v>
      </c>
      <c r="F42" s="6">
        <f t="shared" si="23"/>
        <v>96487.5</v>
      </c>
      <c r="G42" s="6">
        <f t="shared" si="23"/>
        <v>96487.5</v>
      </c>
      <c r="H42" s="7">
        <f t="shared" si="23"/>
        <v>96487.5</v>
      </c>
      <c r="I42" s="7">
        <f t="shared" si="23"/>
        <v>96487.5</v>
      </c>
      <c r="J42" s="145"/>
      <c r="K42" s="24"/>
      <c r="L42" s="24"/>
      <c r="M42" s="24"/>
      <c r="N42" s="24"/>
      <c r="O42" s="24"/>
      <c r="P42" s="24"/>
    </row>
    <row r="43" spans="1:16" x14ac:dyDescent="0.2">
      <c r="A43" s="143"/>
      <c r="B43" s="133"/>
      <c r="C43" s="19" t="s">
        <v>11</v>
      </c>
      <c r="D43" s="6">
        <f t="shared" ref="D43:I43" si="24">D39</f>
        <v>28000</v>
      </c>
      <c r="E43" s="6">
        <f t="shared" si="24"/>
        <v>24800</v>
      </c>
      <c r="F43" s="6">
        <f t="shared" si="24"/>
        <v>21700</v>
      </c>
      <c r="G43" s="6">
        <f t="shared" si="24"/>
        <v>18500</v>
      </c>
      <c r="H43" s="7">
        <f t="shared" si="24"/>
        <v>15500</v>
      </c>
      <c r="I43" s="7">
        <f t="shared" si="24"/>
        <v>12200</v>
      </c>
      <c r="J43" s="145"/>
    </row>
    <row r="44" spans="1:16" x14ac:dyDescent="0.2">
      <c r="A44" s="143"/>
      <c r="B44" s="133"/>
      <c r="C44" s="36" t="s">
        <v>47</v>
      </c>
      <c r="D44" s="31">
        <f>((D42-D43)*0.95)*2</f>
        <v>130126.25</v>
      </c>
      <c r="E44" s="31">
        <f t="shared" ref="E44:I44" si="25">((E42-E43)*0.95)*2</f>
        <v>136206.25</v>
      </c>
      <c r="F44" s="31">
        <f t="shared" si="25"/>
        <v>142096.25</v>
      </c>
      <c r="G44" s="31">
        <f t="shared" si="25"/>
        <v>148176.25</v>
      </c>
      <c r="H44" s="31">
        <f t="shared" si="25"/>
        <v>153876.25</v>
      </c>
      <c r="I44" s="31">
        <f t="shared" si="25"/>
        <v>160146.25</v>
      </c>
      <c r="J44" s="145"/>
    </row>
    <row r="45" spans="1:16" ht="17" thickBot="1" x14ac:dyDescent="0.25">
      <c r="A45" s="143"/>
      <c r="B45" s="133"/>
      <c r="C45" s="41" t="s">
        <v>48</v>
      </c>
      <c r="D45" s="31">
        <f>(D42-D43)</f>
        <v>68487.5</v>
      </c>
      <c r="E45" s="31">
        <f t="shared" ref="E45:I45" si="26">(E42-E43)</f>
        <v>71687.5</v>
      </c>
      <c r="F45" s="31">
        <f t="shared" si="26"/>
        <v>74787.5</v>
      </c>
      <c r="G45" s="31">
        <f t="shared" si="26"/>
        <v>77987.5</v>
      </c>
      <c r="H45" s="31">
        <f t="shared" si="26"/>
        <v>80987.5</v>
      </c>
      <c r="I45" s="31">
        <f t="shared" si="26"/>
        <v>84287.5</v>
      </c>
      <c r="J45" s="145"/>
    </row>
    <row r="46" spans="1:16" x14ac:dyDescent="0.2">
      <c r="A46" s="143"/>
      <c r="B46" s="132" t="s">
        <v>40</v>
      </c>
      <c r="C46" s="4" t="s">
        <v>15</v>
      </c>
      <c r="D46" s="6">
        <f>D42*1.05</f>
        <v>101311.875</v>
      </c>
      <c r="E46" s="6">
        <f t="shared" ref="E46:I46" si="27">D46</f>
        <v>101311.875</v>
      </c>
      <c r="F46" s="6">
        <f t="shared" si="27"/>
        <v>101311.875</v>
      </c>
      <c r="G46" s="6">
        <f t="shared" si="27"/>
        <v>101311.875</v>
      </c>
      <c r="H46" s="7">
        <f t="shared" si="27"/>
        <v>101311.875</v>
      </c>
      <c r="I46" s="7">
        <f t="shared" si="27"/>
        <v>101311.875</v>
      </c>
      <c r="J46" s="145"/>
    </row>
    <row r="47" spans="1:16" x14ac:dyDescent="0.2">
      <c r="A47" s="143"/>
      <c r="B47" s="133"/>
      <c r="C47" s="19" t="s">
        <v>11</v>
      </c>
      <c r="D47" s="6">
        <f t="shared" ref="D47:I47" si="28">D43</f>
        <v>28000</v>
      </c>
      <c r="E47" s="6">
        <f t="shared" si="28"/>
        <v>24800</v>
      </c>
      <c r="F47" s="6">
        <f t="shared" si="28"/>
        <v>21700</v>
      </c>
      <c r="G47" s="6">
        <f t="shared" si="28"/>
        <v>18500</v>
      </c>
      <c r="H47" s="7">
        <f t="shared" si="28"/>
        <v>15500</v>
      </c>
      <c r="I47" s="7">
        <f t="shared" si="28"/>
        <v>12200</v>
      </c>
      <c r="J47" s="145"/>
    </row>
    <row r="48" spans="1:16" x14ac:dyDescent="0.2">
      <c r="A48" s="143"/>
      <c r="B48" s="133"/>
      <c r="C48" s="37" t="s">
        <v>47</v>
      </c>
      <c r="D48" s="32">
        <f>((D46-D47)*0.95)*2</f>
        <v>139292.5625</v>
      </c>
      <c r="E48" s="32">
        <f t="shared" ref="E48:I48" si="29">((E46-E47)*0.95)*2</f>
        <v>145372.5625</v>
      </c>
      <c r="F48" s="32">
        <f t="shared" si="29"/>
        <v>151262.5625</v>
      </c>
      <c r="G48" s="32">
        <f t="shared" si="29"/>
        <v>157342.5625</v>
      </c>
      <c r="H48" s="32">
        <f t="shared" si="29"/>
        <v>163042.5625</v>
      </c>
      <c r="I48" s="32">
        <f t="shared" si="29"/>
        <v>169312.5625</v>
      </c>
      <c r="J48" s="145"/>
    </row>
    <row r="49" spans="1:10" ht="17" thickBot="1" x14ac:dyDescent="0.25">
      <c r="A49" s="143"/>
      <c r="B49" s="133"/>
      <c r="C49" s="39" t="s">
        <v>48</v>
      </c>
      <c r="D49" s="32">
        <f>(D46-D47)</f>
        <v>73311.875</v>
      </c>
      <c r="E49" s="32">
        <f t="shared" ref="E49:I49" si="30">(E46-E47)</f>
        <v>76511.875</v>
      </c>
      <c r="F49" s="32">
        <f t="shared" si="30"/>
        <v>79611.875</v>
      </c>
      <c r="G49" s="32">
        <f t="shared" si="30"/>
        <v>82811.875</v>
      </c>
      <c r="H49" s="32">
        <f t="shared" si="30"/>
        <v>85811.875</v>
      </c>
      <c r="I49" s="32">
        <f t="shared" si="30"/>
        <v>89111.875</v>
      </c>
      <c r="J49" s="145"/>
    </row>
    <row r="50" spans="1:10" x14ac:dyDescent="0.2">
      <c r="A50" s="143"/>
      <c r="B50" s="132" t="s">
        <v>41</v>
      </c>
      <c r="C50" s="4" t="s">
        <v>15</v>
      </c>
      <c r="D50" s="6">
        <f>D46*1.05</f>
        <v>106377.46875</v>
      </c>
      <c r="E50" s="6">
        <f t="shared" ref="E50:I50" si="31">D50</f>
        <v>106377.46875</v>
      </c>
      <c r="F50" s="6">
        <f t="shared" si="31"/>
        <v>106377.46875</v>
      </c>
      <c r="G50" s="6">
        <f t="shared" si="31"/>
        <v>106377.46875</v>
      </c>
      <c r="H50" s="7">
        <f t="shared" si="31"/>
        <v>106377.46875</v>
      </c>
      <c r="I50" s="7">
        <f t="shared" si="31"/>
        <v>106377.46875</v>
      </c>
      <c r="J50" s="145"/>
    </row>
    <row r="51" spans="1:10" x14ac:dyDescent="0.2">
      <c r="A51" s="143"/>
      <c r="B51" s="133"/>
      <c r="C51" s="19" t="s">
        <v>11</v>
      </c>
      <c r="D51" s="6">
        <f t="shared" ref="D51:I51" si="32">D47</f>
        <v>28000</v>
      </c>
      <c r="E51" s="6">
        <f t="shared" si="32"/>
        <v>24800</v>
      </c>
      <c r="F51" s="6">
        <f t="shared" si="32"/>
        <v>21700</v>
      </c>
      <c r="G51" s="6">
        <f t="shared" si="32"/>
        <v>18500</v>
      </c>
      <c r="H51" s="7">
        <f t="shared" si="32"/>
        <v>15500</v>
      </c>
      <c r="I51" s="7">
        <f t="shared" si="32"/>
        <v>12200</v>
      </c>
      <c r="J51" s="145"/>
    </row>
    <row r="52" spans="1:10" x14ac:dyDescent="0.2">
      <c r="A52" s="143"/>
      <c r="B52" s="133"/>
      <c r="C52" s="38" t="s">
        <v>47</v>
      </c>
      <c r="D52" s="33">
        <f>((D50-D51)*0.95)*2</f>
        <v>148917.19062499999</v>
      </c>
      <c r="E52" s="33">
        <f t="shared" ref="E52:I52" si="33">((E50-E51)*0.95)*2</f>
        <v>154997.19062499999</v>
      </c>
      <c r="F52" s="33">
        <f t="shared" si="33"/>
        <v>160887.19062499999</v>
      </c>
      <c r="G52" s="33">
        <f t="shared" si="33"/>
        <v>166967.19062499999</v>
      </c>
      <c r="H52" s="33">
        <f t="shared" si="33"/>
        <v>172667.19062499999</v>
      </c>
      <c r="I52" s="33">
        <f t="shared" si="33"/>
        <v>178937.19062499999</v>
      </c>
      <c r="J52" s="145"/>
    </row>
    <row r="53" spans="1:10" x14ac:dyDescent="0.2">
      <c r="A53" s="143"/>
      <c r="B53" s="133"/>
      <c r="C53" s="40" t="s">
        <v>48</v>
      </c>
      <c r="D53" s="33">
        <f>(D50-D51)</f>
        <v>78377.46875</v>
      </c>
      <c r="E53" s="33">
        <f t="shared" ref="E53:I53" si="34">(E50-E51)</f>
        <v>81577.46875</v>
      </c>
      <c r="F53" s="33">
        <f t="shared" si="34"/>
        <v>84677.46875</v>
      </c>
      <c r="G53" s="33">
        <f t="shared" si="34"/>
        <v>87877.46875</v>
      </c>
      <c r="H53" s="33">
        <f t="shared" si="34"/>
        <v>90877.46875</v>
      </c>
      <c r="I53" s="33">
        <f t="shared" si="34"/>
        <v>94177.46875</v>
      </c>
      <c r="J53" s="145"/>
    </row>
    <row r="54" spans="1:10" x14ac:dyDescent="0.2">
      <c r="A54" s="143"/>
      <c r="B54" s="147" t="s">
        <v>13</v>
      </c>
      <c r="C54" s="148"/>
      <c r="D54" s="33">
        <f t="shared" ref="D54:I54" si="35">SUM(D40,D44,D48,D52)</f>
        <v>541978.50312500005</v>
      </c>
      <c r="E54" s="33">
        <f t="shared" si="35"/>
        <v>566298.50312500005</v>
      </c>
      <c r="F54" s="33">
        <f t="shared" si="35"/>
        <v>589858.50312500005</v>
      </c>
      <c r="G54" s="33">
        <f t="shared" si="35"/>
        <v>614178.50312500005</v>
      </c>
      <c r="H54" s="33">
        <f t="shared" si="35"/>
        <v>636978.50312500005</v>
      </c>
      <c r="I54" s="33">
        <f t="shared" si="35"/>
        <v>662058.50312500005</v>
      </c>
      <c r="J54" s="145"/>
    </row>
    <row r="55" spans="1:10" ht="16" customHeight="1" x14ac:dyDescent="0.2">
      <c r="A55" s="134" t="s">
        <v>16</v>
      </c>
      <c r="B55" s="134"/>
      <c r="C55" s="134"/>
      <c r="D55" s="134"/>
      <c r="E55" s="134"/>
      <c r="F55" s="134"/>
      <c r="G55" s="134"/>
      <c r="H55" s="134"/>
      <c r="I55" s="134"/>
      <c r="J55" s="134"/>
    </row>
    <row r="56" spans="1:10" ht="16" customHeight="1" x14ac:dyDescent="0.2">
      <c r="A56" s="134"/>
      <c r="B56" s="134"/>
      <c r="C56" s="134"/>
      <c r="D56" s="134"/>
      <c r="E56" s="134"/>
      <c r="F56" s="134"/>
      <c r="G56" s="134"/>
      <c r="H56" s="134"/>
      <c r="I56" s="134"/>
      <c r="J56" s="134"/>
    </row>
    <row r="57" spans="1:10" ht="17" customHeight="1" x14ac:dyDescent="0.2">
      <c r="A57" s="134"/>
      <c r="B57" s="134"/>
      <c r="C57" s="134"/>
      <c r="D57" s="134"/>
      <c r="E57" s="134"/>
      <c r="F57" s="134"/>
      <c r="G57" s="134"/>
      <c r="H57" s="134"/>
      <c r="I57" s="134"/>
      <c r="J57" s="134"/>
    </row>
    <row r="58" spans="1:10" x14ac:dyDescent="0.2">
      <c r="A58" s="135" t="s">
        <v>17</v>
      </c>
      <c r="B58" s="136"/>
      <c r="C58" s="139" t="s">
        <v>18</v>
      </c>
      <c r="D58" s="139"/>
      <c r="E58" s="8">
        <v>10000</v>
      </c>
      <c r="F58" s="9"/>
      <c r="G58" s="10"/>
    </row>
    <row r="59" spans="1:10" ht="16" customHeight="1" x14ac:dyDescent="0.2">
      <c r="A59" s="135"/>
      <c r="B59" s="136"/>
      <c r="C59" s="116" t="s">
        <v>19</v>
      </c>
      <c r="D59" s="116"/>
      <c r="E59" s="11">
        <v>3000</v>
      </c>
      <c r="F59" s="9"/>
      <c r="G59" s="10"/>
    </row>
    <row r="60" spans="1:10" ht="16" customHeight="1" thickBot="1" x14ac:dyDescent="0.25">
      <c r="A60" s="137"/>
      <c r="B60" s="138"/>
      <c r="C60" s="118" t="s">
        <v>20</v>
      </c>
      <c r="D60" s="118"/>
      <c r="E60" s="11">
        <v>5000</v>
      </c>
      <c r="F60" s="12"/>
      <c r="G60" s="13"/>
    </row>
    <row r="61" spans="1:10" ht="33" customHeight="1" thickBot="1" x14ac:dyDescent="0.25">
      <c r="A61" s="14" t="s">
        <v>21</v>
      </c>
      <c r="B61" s="15" t="s">
        <v>22</v>
      </c>
      <c r="C61" s="16" t="s">
        <v>23</v>
      </c>
      <c r="D61" s="16" t="s">
        <v>24</v>
      </c>
      <c r="E61" s="16" t="s">
        <v>25</v>
      </c>
      <c r="F61" s="17" t="s">
        <v>26</v>
      </c>
      <c r="G61" s="15" t="s">
        <v>27</v>
      </c>
      <c r="H61" s="15" t="s">
        <v>29</v>
      </c>
    </row>
    <row r="62" spans="1:10" ht="14.5" customHeight="1" thickBot="1" x14ac:dyDescent="0.25">
      <c r="A62" s="21" t="s">
        <v>30</v>
      </c>
      <c r="B62" s="18">
        <f>B63*2</f>
        <v>9000</v>
      </c>
      <c r="C62" s="18">
        <f t="shared" ref="C62:G62" si="36">C63*2</f>
        <v>7000</v>
      </c>
      <c r="D62" s="18">
        <v>1000</v>
      </c>
      <c r="E62" s="18">
        <f t="shared" si="36"/>
        <v>1500</v>
      </c>
      <c r="F62" s="18">
        <f t="shared" si="36"/>
        <v>1000</v>
      </c>
      <c r="G62" s="18">
        <f t="shared" si="36"/>
        <v>1000</v>
      </c>
      <c r="H62" s="18">
        <f>SUM(B62:G62)</f>
        <v>20500</v>
      </c>
    </row>
    <row r="63" spans="1:10" ht="14.5" customHeight="1" thickBot="1" x14ac:dyDescent="0.25">
      <c r="A63" s="21" t="s">
        <v>31</v>
      </c>
      <c r="B63" s="18">
        <v>4500</v>
      </c>
      <c r="C63" s="18">
        <v>3500</v>
      </c>
      <c r="D63" s="18">
        <v>1000</v>
      </c>
      <c r="E63" s="18">
        <v>750</v>
      </c>
      <c r="F63" s="18">
        <v>500</v>
      </c>
      <c r="G63" s="18">
        <v>500</v>
      </c>
      <c r="H63" s="18">
        <f>SUM(B63:G63)</f>
        <v>10750</v>
      </c>
    </row>
    <row r="64" spans="1:10" x14ac:dyDescent="0.2">
      <c r="A64" s="140" t="s">
        <v>45</v>
      </c>
      <c r="B64" s="140"/>
      <c r="C64" s="140"/>
      <c r="D64" s="140"/>
      <c r="E64" s="140"/>
      <c r="F64" s="140"/>
      <c r="G64" s="140"/>
      <c r="H64" s="140"/>
    </row>
    <row r="65" spans="1:9" ht="28" customHeight="1" x14ac:dyDescent="0.2">
      <c r="A65" s="140" t="s">
        <v>46</v>
      </c>
      <c r="B65" s="140"/>
      <c r="C65" s="140"/>
      <c r="D65" s="140"/>
      <c r="E65" s="140"/>
      <c r="F65" s="140"/>
      <c r="G65" s="140"/>
      <c r="H65" s="140"/>
    </row>
    <row r="66" spans="1:9" ht="45" customHeight="1" x14ac:dyDescent="0.2">
      <c r="A66" s="141" t="s">
        <v>43</v>
      </c>
      <c r="B66" s="141"/>
      <c r="C66" s="141"/>
      <c r="D66" s="141"/>
      <c r="E66" s="141"/>
      <c r="F66" s="141"/>
      <c r="G66" s="141"/>
      <c r="H66" s="141"/>
    </row>
    <row r="67" spans="1:9" x14ac:dyDescent="0.2">
      <c r="A67" s="140" t="s">
        <v>32</v>
      </c>
      <c r="B67" s="140"/>
      <c r="C67" s="140"/>
      <c r="D67" s="140"/>
      <c r="E67" s="140"/>
      <c r="F67" s="140"/>
      <c r="G67" s="140"/>
      <c r="H67" s="140"/>
    </row>
    <row r="68" spans="1:9" ht="28.75" customHeight="1" x14ac:dyDescent="0.2">
      <c r="A68" s="129" t="s">
        <v>93</v>
      </c>
      <c r="B68" s="130"/>
      <c r="C68" s="130"/>
      <c r="D68" s="130"/>
      <c r="E68" s="130"/>
      <c r="F68" s="130"/>
      <c r="G68" s="130"/>
      <c r="H68" s="130"/>
      <c r="I68" s="131"/>
    </row>
    <row r="69" spans="1:9" ht="39" customHeight="1" x14ac:dyDescent="0.2"/>
  </sheetData>
  <mergeCells count="25">
    <mergeCell ref="A1:J10"/>
    <mergeCell ref="A38:A54"/>
    <mergeCell ref="B16:B20"/>
    <mergeCell ref="B21:B25"/>
    <mergeCell ref="B26:B30"/>
    <mergeCell ref="B31:B35"/>
    <mergeCell ref="A15:A36"/>
    <mergeCell ref="B54:C54"/>
    <mergeCell ref="B36:C36"/>
    <mergeCell ref="J15:J54"/>
    <mergeCell ref="A11:J14"/>
    <mergeCell ref="B38:B41"/>
    <mergeCell ref="A68:I68"/>
    <mergeCell ref="B42:B45"/>
    <mergeCell ref="B46:B49"/>
    <mergeCell ref="B50:B53"/>
    <mergeCell ref="A55:J57"/>
    <mergeCell ref="A58:B60"/>
    <mergeCell ref="C58:D58"/>
    <mergeCell ref="C59:D59"/>
    <mergeCell ref="C60:D60"/>
    <mergeCell ref="A64:H64"/>
    <mergeCell ref="A65:H65"/>
    <mergeCell ref="A66:H66"/>
    <mergeCell ref="A67:H6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8998E-3B28-CA41-8A54-6704D9F7F479}">
  <sheetPr>
    <pageSetUpPr fitToPage="1"/>
  </sheetPr>
  <dimension ref="A1:Z69"/>
  <sheetViews>
    <sheetView topLeftCell="B14" zoomScale="110" workbookViewId="0">
      <selection activeCell="D44" sqref="D44:J45"/>
    </sheetView>
  </sheetViews>
  <sheetFormatPr baseColWidth="10" defaultColWidth="8.83203125" defaultRowHeight="16" x14ac:dyDescent="0.2"/>
  <cols>
    <col min="1" max="1" width="17.33203125" customWidth="1"/>
    <col min="2" max="2" width="23" bestFit="1" customWidth="1"/>
    <col min="3" max="3" width="41.1640625" bestFit="1" customWidth="1"/>
    <col min="4" max="4" width="16.83203125" customWidth="1"/>
    <col min="5" max="5" width="15.1640625" customWidth="1"/>
    <col min="6" max="6" width="14.83203125" customWidth="1"/>
    <col min="7" max="7" width="18.1640625" customWidth="1"/>
    <col min="8" max="12" width="16.6640625" customWidth="1"/>
  </cols>
  <sheetData>
    <row r="1" spans="1:15" x14ac:dyDescent="0.2">
      <c r="A1" s="119"/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5" x14ac:dyDescent="0.2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</row>
    <row r="3" spans="1:15" x14ac:dyDescent="0.2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</row>
    <row r="4" spans="1:15" x14ac:dyDescent="0.2">
      <c r="A4" s="119"/>
      <c r="B4" s="119"/>
      <c r="C4" s="119"/>
      <c r="D4" s="119"/>
      <c r="E4" s="119"/>
      <c r="F4" s="119"/>
      <c r="G4" s="119"/>
      <c r="H4" s="119"/>
      <c r="I4" s="119"/>
      <c r="J4" s="119"/>
      <c r="K4" s="119"/>
    </row>
    <row r="5" spans="1:15" x14ac:dyDescent="0.2">
      <c r="A5" s="119"/>
      <c r="B5" s="119"/>
      <c r="C5" s="119"/>
      <c r="D5" s="119"/>
      <c r="E5" s="119"/>
      <c r="F5" s="119"/>
      <c r="G5" s="119"/>
      <c r="H5" s="119"/>
      <c r="I5" s="119"/>
      <c r="J5" s="119"/>
      <c r="K5" s="119"/>
    </row>
    <row r="6" spans="1:15" x14ac:dyDescent="0.2">
      <c r="A6" s="119"/>
      <c r="B6" s="119"/>
      <c r="C6" s="119"/>
      <c r="D6" s="119"/>
      <c r="E6" s="119"/>
      <c r="F6" s="119"/>
      <c r="G6" s="119"/>
      <c r="H6" s="119"/>
      <c r="I6" s="119"/>
      <c r="J6" s="119"/>
      <c r="K6" s="119"/>
    </row>
    <row r="7" spans="1:15" x14ac:dyDescent="0.2">
      <c r="A7" s="119"/>
      <c r="B7" s="119"/>
      <c r="C7" s="119"/>
      <c r="D7" s="119"/>
      <c r="E7" s="119"/>
      <c r="F7" s="119"/>
      <c r="G7" s="119"/>
      <c r="H7" s="119"/>
      <c r="I7" s="119"/>
      <c r="J7" s="119"/>
      <c r="K7" s="119"/>
    </row>
    <row r="8" spans="1:15" x14ac:dyDescent="0.2">
      <c r="A8" s="119"/>
      <c r="B8" s="119"/>
      <c r="C8" s="119"/>
      <c r="D8" s="119"/>
      <c r="E8" s="119"/>
      <c r="F8" s="119"/>
      <c r="G8" s="119"/>
      <c r="H8" s="119"/>
      <c r="I8" s="119"/>
      <c r="J8" s="119"/>
      <c r="K8" s="119"/>
    </row>
    <row r="9" spans="1:15" x14ac:dyDescent="0.2">
      <c r="A9" s="119"/>
      <c r="B9" s="119"/>
      <c r="C9" s="119"/>
      <c r="D9" s="119"/>
      <c r="E9" s="119"/>
      <c r="F9" s="119"/>
      <c r="G9" s="119"/>
      <c r="H9" s="119"/>
      <c r="I9" s="119"/>
      <c r="J9" s="119"/>
      <c r="K9" s="119"/>
    </row>
    <row r="10" spans="1:15" x14ac:dyDescent="0.2">
      <c r="A10" s="119"/>
      <c r="B10" s="119"/>
      <c r="C10" s="119"/>
      <c r="D10" s="119"/>
      <c r="E10" s="119"/>
      <c r="F10" s="119"/>
      <c r="G10" s="119"/>
      <c r="H10" s="119"/>
      <c r="I10" s="119"/>
      <c r="J10" s="119"/>
      <c r="K10" s="119"/>
    </row>
    <row r="11" spans="1:15" ht="14.5" customHeight="1" x14ac:dyDescent="0.2">
      <c r="A11" s="151" t="s">
        <v>74</v>
      </c>
      <c r="B11" s="152"/>
      <c r="C11" s="152"/>
      <c r="D11" s="152"/>
      <c r="E11" s="152"/>
      <c r="F11" s="152"/>
      <c r="G11" s="152"/>
      <c r="H11" s="152"/>
      <c r="I11" s="152"/>
      <c r="J11" s="152"/>
      <c r="K11" s="152"/>
    </row>
    <row r="12" spans="1:15" ht="14.5" customHeight="1" x14ac:dyDescent="0.2">
      <c r="A12" s="154"/>
      <c r="B12" s="155"/>
      <c r="C12" s="155"/>
      <c r="D12" s="155"/>
      <c r="E12" s="155"/>
      <c r="F12" s="155"/>
      <c r="G12" s="155"/>
      <c r="H12" s="155"/>
      <c r="I12" s="155"/>
      <c r="J12" s="155"/>
      <c r="K12" s="155"/>
    </row>
    <row r="13" spans="1:15" ht="14.5" customHeight="1" x14ac:dyDescent="0.2">
      <c r="A13" s="154"/>
      <c r="B13" s="155"/>
      <c r="C13" s="155"/>
      <c r="D13" s="155"/>
      <c r="E13" s="155"/>
      <c r="F13" s="155"/>
      <c r="G13" s="155"/>
      <c r="H13" s="155"/>
      <c r="I13" s="155"/>
      <c r="J13" s="155"/>
      <c r="K13" s="155"/>
    </row>
    <row r="14" spans="1:15" ht="57.5" customHeight="1" x14ac:dyDescent="0.2">
      <c r="A14" s="157"/>
      <c r="B14" s="158"/>
      <c r="C14" s="158"/>
      <c r="D14" s="158"/>
      <c r="E14" s="158"/>
      <c r="F14" s="158"/>
      <c r="G14" s="158"/>
      <c r="H14" s="158"/>
      <c r="I14" s="158"/>
      <c r="J14" s="158"/>
      <c r="K14" s="158"/>
    </row>
    <row r="15" spans="1:15" ht="85.25" customHeight="1" thickBot="1" x14ac:dyDescent="0.25">
      <c r="A15" s="144" t="s">
        <v>0</v>
      </c>
      <c r="B15" s="1" t="s">
        <v>1</v>
      </c>
      <c r="C15" s="2" t="s">
        <v>2</v>
      </c>
      <c r="D15" s="3" t="s">
        <v>33</v>
      </c>
      <c r="E15" s="3" t="s">
        <v>34</v>
      </c>
      <c r="F15" s="3" t="s">
        <v>35</v>
      </c>
      <c r="G15" s="3" t="s">
        <v>36</v>
      </c>
      <c r="H15" s="20" t="s">
        <v>49</v>
      </c>
      <c r="I15" s="20" t="s">
        <v>50</v>
      </c>
      <c r="J15" s="20" t="s">
        <v>51</v>
      </c>
      <c r="K15" s="144" t="s">
        <v>9</v>
      </c>
    </row>
    <row r="16" spans="1:15" x14ac:dyDescent="0.2">
      <c r="A16" s="145"/>
      <c r="B16" s="132" t="s">
        <v>38</v>
      </c>
      <c r="C16" s="34" t="s">
        <v>10</v>
      </c>
      <c r="D16" s="6">
        <v>93100</v>
      </c>
      <c r="E16" s="6">
        <f>D16</f>
        <v>93100</v>
      </c>
      <c r="F16" s="6">
        <f t="shared" ref="F16:J16" si="0">E16</f>
        <v>93100</v>
      </c>
      <c r="G16" s="7">
        <f t="shared" si="0"/>
        <v>93100</v>
      </c>
      <c r="H16" s="7">
        <f t="shared" si="0"/>
        <v>93100</v>
      </c>
      <c r="I16" s="7">
        <f t="shared" si="0"/>
        <v>93100</v>
      </c>
      <c r="J16" s="7">
        <f t="shared" si="0"/>
        <v>93100</v>
      </c>
      <c r="K16" s="145"/>
      <c r="L16" s="24"/>
      <c r="M16" s="24"/>
      <c r="N16" s="24"/>
      <c r="O16" s="24"/>
    </row>
    <row r="17" spans="1:26" x14ac:dyDescent="0.2">
      <c r="A17" s="145"/>
      <c r="B17" s="133"/>
      <c r="C17" s="34" t="s">
        <v>11</v>
      </c>
      <c r="D17" s="6">
        <v>35000</v>
      </c>
      <c r="E17" s="6">
        <v>29700</v>
      </c>
      <c r="F17" s="6">
        <v>26500</v>
      </c>
      <c r="G17" s="7">
        <v>23400</v>
      </c>
      <c r="H17" s="7">
        <v>20200</v>
      </c>
      <c r="I17" s="7">
        <v>17000</v>
      </c>
      <c r="J17" s="7">
        <v>13800</v>
      </c>
      <c r="K17" s="145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x14ac:dyDescent="0.2">
      <c r="A18" s="145"/>
      <c r="B18" s="133"/>
      <c r="C18" s="35" t="s">
        <v>44</v>
      </c>
      <c r="D18" s="30">
        <v>18500</v>
      </c>
      <c r="E18" s="30">
        <f>D18</f>
        <v>18500</v>
      </c>
      <c r="F18" s="30">
        <f t="shared" ref="F18:J18" si="1">E18</f>
        <v>18500</v>
      </c>
      <c r="G18" s="30">
        <f t="shared" si="1"/>
        <v>18500</v>
      </c>
      <c r="H18" s="30">
        <f t="shared" si="1"/>
        <v>18500</v>
      </c>
      <c r="I18" s="30">
        <f t="shared" si="1"/>
        <v>18500</v>
      </c>
      <c r="J18" s="30">
        <f t="shared" si="1"/>
        <v>18500</v>
      </c>
      <c r="K18" s="145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x14ac:dyDescent="0.2">
      <c r="A19" s="145"/>
      <c r="B19" s="133"/>
      <c r="C19" s="35" t="s">
        <v>47</v>
      </c>
      <c r="D19" s="30">
        <f>(((D16-D17)*0.95)*2)-D18*2</f>
        <v>73390</v>
      </c>
      <c r="E19" s="30">
        <f t="shared" ref="E19:J19" si="2">(((E16-E17)*0.95)*2)-E18*2</f>
        <v>83460</v>
      </c>
      <c r="F19" s="30">
        <f t="shared" si="2"/>
        <v>89540</v>
      </c>
      <c r="G19" s="30">
        <f t="shared" si="2"/>
        <v>95430</v>
      </c>
      <c r="H19" s="30">
        <f t="shared" si="2"/>
        <v>101510</v>
      </c>
      <c r="I19" s="30">
        <f t="shared" si="2"/>
        <v>107590</v>
      </c>
      <c r="J19" s="30">
        <f t="shared" si="2"/>
        <v>113670</v>
      </c>
      <c r="K19" s="145"/>
      <c r="L19" s="24"/>
      <c r="M19" s="24"/>
      <c r="N19" s="24"/>
      <c r="O19" s="24"/>
      <c r="P19" s="24"/>
      <c r="Q19" s="24"/>
    </row>
    <row r="20" spans="1:26" ht="17" thickBot="1" x14ac:dyDescent="0.25">
      <c r="A20" s="145"/>
      <c r="B20" s="133"/>
      <c r="C20" s="35" t="s">
        <v>48</v>
      </c>
      <c r="D20" s="30">
        <f>(D16-D17)-D18</f>
        <v>39600</v>
      </c>
      <c r="E20" s="30">
        <f t="shared" ref="E20:J20" si="3">(E16-E17)-E18</f>
        <v>44900</v>
      </c>
      <c r="F20" s="30">
        <f t="shared" si="3"/>
        <v>48100</v>
      </c>
      <c r="G20" s="30">
        <f t="shared" si="3"/>
        <v>51200</v>
      </c>
      <c r="H20" s="30">
        <f t="shared" si="3"/>
        <v>54400</v>
      </c>
      <c r="I20" s="30">
        <f t="shared" si="3"/>
        <v>57600</v>
      </c>
      <c r="J20" s="30">
        <f t="shared" si="3"/>
        <v>60800</v>
      </c>
      <c r="K20" s="145"/>
      <c r="L20" s="24"/>
      <c r="M20" s="24"/>
      <c r="N20" s="24"/>
      <c r="O20" s="24"/>
      <c r="P20" s="24"/>
      <c r="Q20" s="24"/>
      <c r="R20" s="24"/>
    </row>
    <row r="21" spans="1:26" ht="16" customHeight="1" x14ac:dyDescent="0.2">
      <c r="A21" s="145"/>
      <c r="B21" s="132" t="s">
        <v>39</v>
      </c>
      <c r="C21" s="34" t="s">
        <v>12</v>
      </c>
      <c r="D21" s="6">
        <v>96100</v>
      </c>
      <c r="E21" s="6">
        <f t="shared" ref="E21:H21" si="4">D21</f>
        <v>96100</v>
      </c>
      <c r="F21" s="6">
        <f t="shared" si="4"/>
        <v>96100</v>
      </c>
      <c r="G21" s="7">
        <f t="shared" si="4"/>
        <v>96100</v>
      </c>
      <c r="H21" s="7">
        <f t="shared" si="4"/>
        <v>96100</v>
      </c>
      <c r="I21" s="7">
        <f>H21</f>
        <v>96100</v>
      </c>
      <c r="J21" s="7">
        <f t="shared" ref="J21" si="5">I21</f>
        <v>96100</v>
      </c>
      <c r="K21" s="145"/>
    </row>
    <row r="22" spans="1:26" x14ac:dyDescent="0.2">
      <c r="A22" s="145"/>
      <c r="B22" s="133"/>
      <c r="C22" s="34" t="s">
        <v>11</v>
      </c>
      <c r="D22" s="6">
        <f t="shared" ref="D22:J22" si="6">D17</f>
        <v>35000</v>
      </c>
      <c r="E22" s="6">
        <f t="shared" si="6"/>
        <v>29700</v>
      </c>
      <c r="F22" s="6">
        <f t="shared" si="6"/>
        <v>26500</v>
      </c>
      <c r="G22" s="7">
        <f t="shared" si="6"/>
        <v>23400</v>
      </c>
      <c r="H22" s="7">
        <f t="shared" si="6"/>
        <v>20200</v>
      </c>
      <c r="I22" s="7">
        <f t="shared" si="6"/>
        <v>17000</v>
      </c>
      <c r="J22" s="7">
        <f t="shared" si="6"/>
        <v>13800</v>
      </c>
      <c r="K22" s="145"/>
      <c r="L22" s="24"/>
      <c r="M22" s="24"/>
      <c r="N22" s="24"/>
      <c r="O22" s="24"/>
      <c r="P22" s="24"/>
      <c r="Q22" s="24"/>
      <c r="R22" s="24"/>
    </row>
    <row r="23" spans="1:26" x14ac:dyDescent="0.2">
      <c r="A23" s="145"/>
      <c r="B23" s="133"/>
      <c r="C23" s="36" t="s">
        <v>44</v>
      </c>
      <c r="D23" s="31">
        <f>D18</f>
        <v>18500</v>
      </c>
      <c r="E23" s="31">
        <f>D23</f>
        <v>18500</v>
      </c>
      <c r="F23" s="31">
        <f t="shared" ref="F23" si="7">E23</f>
        <v>18500</v>
      </c>
      <c r="G23" s="31">
        <f t="shared" ref="G23" si="8">F23</f>
        <v>18500</v>
      </c>
      <c r="H23" s="31">
        <f t="shared" ref="H23" si="9">G23</f>
        <v>18500</v>
      </c>
      <c r="I23" s="31">
        <f t="shared" ref="I23" si="10">H23</f>
        <v>18500</v>
      </c>
      <c r="J23" s="31">
        <f t="shared" ref="J23" si="11">I23</f>
        <v>18500</v>
      </c>
      <c r="K23" s="145"/>
      <c r="L23" s="24"/>
      <c r="M23" s="24"/>
      <c r="N23" s="24"/>
      <c r="O23" s="24"/>
      <c r="P23" s="24"/>
      <c r="Q23" s="24"/>
      <c r="R23" s="24"/>
    </row>
    <row r="24" spans="1:26" x14ac:dyDescent="0.2">
      <c r="A24" s="145"/>
      <c r="B24" s="133"/>
      <c r="C24" s="36" t="s">
        <v>47</v>
      </c>
      <c r="D24" s="31">
        <f>(((D21-D22)*0.95)*2)-D23*2</f>
        <v>79090</v>
      </c>
      <c r="E24" s="31">
        <f t="shared" ref="E24:J24" si="12">(((E21-E22)*0.95)*2)-E23*2</f>
        <v>89160</v>
      </c>
      <c r="F24" s="31">
        <f t="shared" si="12"/>
        <v>95240</v>
      </c>
      <c r="G24" s="31">
        <f t="shared" si="12"/>
        <v>101130</v>
      </c>
      <c r="H24" s="31">
        <f t="shared" si="12"/>
        <v>107210</v>
      </c>
      <c r="I24" s="31">
        <f t="shared" si="12"/>
        <v>113290</v>
      </c>
      <c r="J24" s="31">
        <f t="shared" si="12"/>
        <v>119370</v>
      </c>
      <c r="K24" s="145"/>
    </row>
    <row r="25" spans="1:26" ht="17" thickBot="1" x14ac:dyDescent="0.25">
      <c r="A25" s="145"/>
      <c r="B25" s="133"/>
      <c r="C25" s="36" t="s">
        <v>48</v>
      </c>
      <c r="D25" s="31">
        <f>(D21-D22)-D23</f>
        <v>42600</v>
      </c>
      <c r="E25" s="31">
        <f t="shared" ref="E25:J25" si="13">(E21-E22)-E23</f>
        <v>47900</v>
      </c>
      <c r="F25" s="31">
        <f t="shared" si="13"/>
        <v>51100</v>
      </c>
      <c r="G25" s="31">
        <f t="shared" si="13"/>
        <v>54200</v>
      </c>
      <c r="H25" s="31">
        <f t="shared" si="13"/>
        <v>57400</v>
      </c>
      <c r="I25" s="31">
        <f t="shared" si="13"/>
        <v>60600</v>
      </c>
      <c r="J25" s="31">
        <f t="shared" si="13"/>
        <v>63800</v>
      </c>
      <c r="K25" s="145"/>
    </row>
    <row r="26" spans="1:26" x14ac:dyDescent="0.2">
      <c r="A26" s="145"/>
      <c r="B26" s="132" t="s">
        <v>40</v>
      </c>
      <c r="C26" s="34" t="s">
        <v>12</v>
      </c>
      <c r="D26" s="6">
        <f>D21*1.05</f>
        <v>100905</v>
      </c>
      <c r="E26" s="6">
        <f t="shared" ref="E26:H26" si="14">D26</f>
        <v>100905</v>
      </c>
      <c r="F26" s="6">
        <f t="shared" si="14"/>
        <v>100905</v>
      </c>
      <c r="G26" s="7">
        <f t="shared" si="14"/>
        <v>100905</v>
      </c>
      <c r="H26" s="7">
        <f t="shared" si="14"/>
        <v>100905</v>
      </c>
      <c r="I26" s="7">
        <f>I21*1.05</f>
        <v>100905</v>
      </c>
      <c r="J26" s="7">
        <f t="shared" ref="J26" si="15">I26</f>
        <v>100905</v>
      </c>
      <c r="K26" s="145"/>
    </row>
    <row r="27" spans="1:26" x14ac:dyDescent="0.2">
      <c r="A27" s="145"/>
      <c r="B27" s="133"/>
      <c r="C27" s="34" t="s">
        <v>11</v>
      </c>
      <c r="D27" s="6">
        <f t="shared" ref="D27:J27" si="16">D22</f>
        <v>35000</v>
      </c>
      <c r="E27" s="6">
        <f t="shared" si="16"/>
        <v>29700</v>
      </c>
      <c r="F27" s="6">
        <f t="shared" si="16"/>
        <v>26500</v>
      </c>
      <c r="G27" s="7">
        <f t="shared" si="16"/>
        <v>23400</v>
      </c>
      <c r="H27" s="7">
        <f t="shared" si="16"/>
        <v>20200</v>
      </c>
      <c r="I27" s="7">
        <f t="shared" si="16"/>
        <v>17000</v>
      </c>
      <c r="J27" s="7">
        <f t="shared" si="16"/>
        <v>13800</v>
      </c>
      <c r="K27" s="145"/>
    </row>
    <row r="28" spans="1:26" x14ac:dyDescent="0.2">
      <c r="A28" s="145"/>
      <c r="B28" s="133"/>
      <c r="C28" s="37" t="s">
        <v>44</v>
      </c>
      <c r="D28" s="32">
        <f>D23</f>
        <v>18500</v>
      </c>
      <c r="E28" s="32">
        <f>D28</f>
        <v>18500</v>
      </c>
      <c r="F28" s="32">
        <f t="shared" ref="F28" si="17">E28</f>
        <v>18500</v>
      </c>
      <c r="G28" s="32">
        <f t="shared" ref="G28" si="18">F28</f>
        <v>18500</v>
      </c>
      <c r="H28" s="32">
        <f t="shared" ref="H28" si="19">G28</f>
        <v>18500</v>
      </c>
      <c r="I28" s="32">
        <f t="shared" ref="I28" si="20">H28</f>
        <v>18500</v>
      </c>
      <c r="J28" s="32">
        <f t="shared" ref="J28" si="21">I28</f>
        <v>18500</v>
      </c>
      <c r="K28" s="145"/>
    </row>
    <row r="29" spans="1:26" x14ac:dyDescent="0.2">
      <c r="A29" s="145"/>
      <c r="B29" s="133"/>
      <c r="C29" s="37" t="s">
        <v>47</v>
      </c>
      <c r="D29" s="32">
        <f>(((D26-D27)*0.95)*2)-D28*2</f>
        <v>88219.5</v>
      </c>
      <c r="E29" s="32">
        <f t="shared" ref="E29:J29" si="22">(((E26-E27)*0.95)*2)-E28*2</f>
        <v>98289.5</v>
      </c>
      <c r="F29" s="32">
        <f t="shared" si="22"/>
        <v>104369.5</v>
      </c>
      <c r="G29" s="32">
        <f t="shared" si="22"/>
        <v>110259.5</v>
      </c>
      <c r="H29" s="32">
        <f t="shared" si="22"/>
        <v>116339.5</v>
      </c>
      <c r="I29" s="32">
        <f t="shared" si="22"/>
        <v>122419.5</v>
      </c>
      <c r="J29" s="32">
        <f t="shared" si="22"/>
        <v>128499.5</v>
      </c>
      <c r="K29" s="145"/>
    </row>
    <row r="30" spans="1:26" ht="17" thickBot="1" x14ac:dyDescent="0.25">
      <c r="A30" s="145"/>
      <c r="B30" s="133"/>
      <c r="C30" s="37" t="s">
        <v>48</v>
      </c>
      <c r="D30" s="32">
        <f>(D26-D27)-D28</f>
        <v>47405</v>
      </c>
      <c r="E30" s="32">
        <f t="shared" ref="E30:J30" si="23">(E26-E27)-E28</f>
        <v>52705</v>
      </c>
      <c r="F30" s="32">
        <f t="shared" si="23"/>
        <v>55905</v>
      </c>
      <c r="G30" s="32">
        <f t="shared" si="23"/>
        <v>59005</v>
      </c>
      <c r="H30" s="32">
        <f t="shared" si="23"/>
        <v>62205</v>
      </c>
      <c r="I30" s="32">
        <f t="shared" si="23"/>
        <v>65405</v>
      </c>
      <c r="J30" s="32">
        <f t="shared" si="23"/>
        <v>68605</v>
      </c>
      <c r="K30" s="145"/>
    </row>
    <row r="31" spans="1:26" x14ac:dyDescent="0.2">
      <c r="A31" s="145"/>
      <c r="B31" s="132" t="s">
        <v>41</v>
      </c>
      <c r="C31" s="34" t="s">
        <v>12</v>
      </c>
      <c r="D31" s="6">
        <f>D26*1.05</f>
        <v>105950.25</v>
      </c>
      <c r="E31" s="6">
        <f t="shared" ref="E31:H31" si="24">D31</f>
        <v>105950.25</v>
      </c>
      <c r="F31" s="6">
        <f t="shared" si="24"/>
        <v>105950.25</v>
      </c>
      <c r="G31" s="7">
        <f t="shared" si="24"/>
        <v>105950.25</v>
      </c>
      <c r="H31" s="7">
        <f t="shared" si="24"/>
        <v>105950.25</v>
      </c>
      <c r="I31" s="7">
        <f>I26*1.05</f>
        <v>105950.25</v>
      </c>
      <c r="J31" s="7">
        <f t="shared" ref="J31" si="25">I31</f>
        <v>105950.25</v>
      </c>
      <c r="K31" s="145"/>
    </row>
    <row r="32" spans="1:26" x14ac:dyDescent="0.2">
      <c r="A32" s="145"/>
      <c r="B32" s="133"/>
      <c r="C32" s="34" t="s">
        <v>11</v>
      </c>
      <c r="D32" s="6">
        <f t="shared" ref="D32:J32" si="26">D27</f>
        <v>35000</v>
      </c>
      <c r="E32" s="6">
        <f t="shared" si="26"/>
        <v>29700</v>
      </c>
      <c r="F32" s="6">
        <f t="shared" si="26"/>
        <v>26500</v>
      </c>
      <c r="G32" s="7">
        <f t="shared" si="26"/>
        <v>23400</v>
      </c>
      <c r="H32" s="7">
        <f t="shared" si="26"/>
        <v>20200</v>
      </c>
      <c r="I32" s="7">
        <f t="shared" si="26"/>
        <v>17000</v>
      </c>
      <c r="J32" s="7">
        <f t="shared" si="26"/>
        <v>13800</v>
      </c>
      <c r="K32" s="145"/>
    </row>
    <row r="33" spans="1:18" x14ac:dyDescent="0.2">
      <c r="A33" s="145"/>
      <c r="B33" s="133"/>
      <c r="C33" s="38" t="s">
        <v>44</v>
      </c>
      <c r="D33" s="33">
        <f>D28</f>
        <v>18500</v>
      </c>
      <c r="E33" s="33">
        <f>D33</f>
        <v>18500</v>
      </c>
      <c r="F33" s="33">
        <f t="shared" ref="F33" si="27">E33</f>
        <v>18500</v>
      </c>
      <c r="G33" s="33">
        <f t="shared" ref="G33" si="28">F33</f>
        <v>18500</v>
      </c>
      <c r="H33" s="33">
        <f t="shared" ref="H33" si="29">G33</f>
        <v>18500</v>
      </c>
      <c r="I33" s="33">
        <f t="shared" ref="I33" si="30">H33</f>
        <v>18500</v>
      </c>
      <c r="J33" s="33">
        <f t="shared" ref="J33" si="31">I33</f>
        <v>18500</v>
      </c>
      <c r="K33" s="145"/>
    </row>
    <row r="34" spans="1:18" x14ac:dyDescent="0.2">
      <c r="A34" s="145"/>
      <c r="B34" s="133"/>
      <c r="C34" s="38" t="s">
        <v>47</v>
      </c>
      <c r="D34" s="33">
        <f>(((D31-D32)*0.95)*2)-D33*2</f>
        <v>97805.475000000006</v>
      </c>
      <c r="E34" s="33">
        <f t="shared" ref="E34:J34" si="32">(((E31-E32)*0.95)*2)-E33*2</f>
        <v>107875.47500000001</v>
      </c>
      <c r="F34" s="33">
        <f t="shared" si="32"/>
        <v>113955.47500000001</v>
      </c>
      <c r="G34" s="33">
        <f t="shared" si="32"/>
        <v>119845.47500000001</v>
      </c>
      <c r="H34" s="33">
        <f t="shared" si="32"/>
        <v>125925.47500000001</v>
      </c>
      <c r="I34" s="33">
        <f t="shared" si="32"/>
        <v>132005.47500000001</v>
      </c>
      <c r="J34" s="33">
        <f t="shared" si="32"/>
        <v>138085.47500000001</v>
      </c>
      <c r="K34" s="145"/>
    </row>
    <row r="35" spans="1:18" x14ac:dyDescent="0.2">
      <c r="A35" s="145"/>
      <c r="B35" s="133"/>
      <c r="C35" s="38" t="s">
        <v>48</v>
      </c>
      <c r="D35" s="33">
        <f>(D31-D32)-D33</f>
        <v>52450.25</v>
      </c>
      <c r="E35" s="33">
        <f t="shared" ref="E35:J35" si="33">(E31-E32)-E33</f>
        <v>57750.25</v>
      </c>
      <c r="F35" s="33">
        <f t="shared" si="33"/>
        <v>60950.25</v>
      </c>
      <c r="G35" s="33">
        <f t="shared" si="33"/>
        <v>64050.25</v>
      </c>
      <c r="H35" s="33">
        <f t="shared" si="33"/>
        <v>67250.25</v>
      </c>
      <c r="I35" s="33">
        <f t="shared" si="33"/>
        <v>70450.25</v>
      </c>
      <c r="J35" s="33">
        <f t="shared" si="33"/>
        <v>73650.25</v>
      </c>
      <c r="K35" s="145"/>
    </row>
    <row r="36" spans="1:18" x14ac:dyDescent="0.2">
      <c r="A36" s="146"/>
      <c r="B36" s="149" t="s">
        <v>13</v>
      </c>
      <c r="C36" s="150"/>
      <c r="D36" s="33">
        <f t="shared" ref="D36:J36" si="34">SUM(D19,D24,D29,D34)</f>
        <v>338504.97499999998</v>
      </c>
      <c r="E36" s="33">
        <f t="shared" si="34"/>
        <v>378784.97499999998</v>
      </c>
      <c r="F36" s="33">
        <f t="shared" si="34"/>
        <v>403104.97499999998</v>
      </c>
      <c r="G36" s="33">
        <f t="shared" si="34"/>
        <v>426664.97499999998</v>
      </c>
      <c r="H36" s="33">
        <f t="shared" si="34"/>
        <v>450984.97499999998</v>
      </c>
      <c r="I36" s="33">
        <f t="shared" si="34"/>
        <v>475304.97499999998</v>
      </c>
      <c r="J36" s="33">
        <f t="shared" si="34"/>
        <v>499624.97499999998</v>
      </c>
      <c r="K36" s="145"/>
    </row>
    <row r="37" spans="1:18" ht="17" thickBot="1" x14ac:dyDescent="0.25">
      <c r="K37" s="145"/>
      <c r="L37" s="24"/>
      <c r="M37" s="24"/>
      <c r="N37" s="24"/>
      <c r="O37" s="24"/>
      <c r="P37" s="24"/>
      <c r="Q37" s="24"/>
    </row>
    <row r="38" spans="1:18" x14ac:dyDescent="0.2">
      <c r="A38" s="142" t="s">
        <v>14</v>
      </c>
      <c r="B38" s="132" t="s">
        <v>38</v>
      </c>
      <c r="C38" s="19" t="s">
        <v>15</v>
      </c>
      <c r="D38" s="6">
        <f>D16*0.75</f>
        <v>69825</v>
      </c>
      <c r="E38" s="6">
        <f t="shared" ref="E38:H38" si="35">D38</f>
        <v>69825</v>
      </c>
      <c r="F38" s="6">
        <f t="shared" si="35"/>
        <v>69825</v>
      </c>
      <c r="G38" s="6">
        <f t="shared" si="35"/>
        <v>69825</v>
      </c>
      <c r="H38" s="7">
        <f t="shared" si="35"/>
        <v>69825</v>
      </c>
      <c r="I38" s="7">
        <f>I16*0.75</f>
        <v>69825</v>
      </c>
      <c r="J38" s="7">
        <f t="shared" ref="J38" si="36">I38</f>
        <v>69825</v>
      </c>
      <c r="K38" s="145"/>
    </row>
    <row r="39" spans="1:18" x14ac:dyDescent="0.2">
      <c r="A39" s="143"/>
      <c r="B39" s="133"/>
      <c r="C39" s="19" t="s">
        <v>11</v>
      </c>
      <c r="D39" s="6">
        <v>35000</v>
      </c>
      <c r="E39" s="6">
        <v>29700</v>
      </c>
      <c r="F39" s="6">
        <v>26500</v>
      </c>
      <c r="G39" s="6">
        <v>23400</v>
      </c>
      <c r="H39" s="7">
        <v>20200</v>
      </c>
      <c r="I39" s="7">
        <v>17000</v>
      </c>
      <c r="J39" s="7">
        <v>13800</v>
      </c>
      <c r="K39" s="145"/>
    </row>
    <row r="40" spans="1:18" x14ac:dyDescent="0.2">
      <c r="A40" s="143"/>
      <c r="B40" s="133"/>
      <c r="C40" s="29" t="s">
        <v>47</v>
      </c>
      <c r="D40" s="30">
        <f>((D38-D39)*0.95)*2</f>
        <v>66167.5</v>
      </c>
      <c r="E40" s="30">
        <f t="shared" ref="E40:J40" si="37">((E38-E39)*0.95)*2</f>
        <v>76237.5</v>
      </c>
      <c r="F40" s="30">
        <f t="shared" si="37"/>
        <v>82317.5</v>
      </c>
      <c r="G40" s="30">
        <f t="shared" si="37"/>
        <v>88207.5</v>
      </c>
      <c r="H40" s="30">
        <f t="shared" si="37"/>
        <v>94287.5</v>
      </c>
      <c r="I40" s="30">
        <f t="shared" si="37"/>
        <v>100367.5</v>
      </c>
      <c r="J40" s="30">
        <f t="shared" si="37"/>
        <v>106447.5</v>
      </c>
      <c r="K40" s="145"/>
      <c r="L40" s="24"/>
      <c r="M40" s="24"/>
      <c r="N40" s="24"/>
      <c r="O40" s="24"/>
      <c r="P40" s="24"/>
      <c r="Q40" s="24"/>
      <c r="R40" s="24"/>
    </row>
    <row r="41" spans="1:18" ht="17" thickBot="1" x14ac:dyDescent="0.25">
      <c r="A41" s="143"/>
      <c r="B41" s="133"/>
      <c r="C41" s="29" t="s">
        <v>48</v>
      </c>
      <c r="D41" s="30">
        <f>(D38-D39)</f>
        <v>34825</v>
      </c>
      <c r="E41" s="30">
        <f t="shared" ref="E41:J41" si="38">(E38-E39)</f>
        <v>40125</v>
      </c>
      <c r="F41" s="30">
        <f t="shared" si="38"/>
        <v>43325</v>
      </c>
      <c r="G41" s="30">
        <f t="shared" si="38"/>
        <v>46425</v>
      </c>
      <c r="H41" s="30">
        <f t="shared" si="38"/>
        <v>49625</v>
      </c>
      <c r="I41" s="30">
        <f t="shared" si="38"/>
        <v>52825</v>
      </c>
      <c r="J41" s="30">
        <f t="shared" si="38"/>
        <v>56025</v>
      </c>
      <c r="K41" s="145"/>
      <c r="L41" s="24"/>
      <c r="M41" s="24"/>
      <c r="N41" s="24"/>
      <c r="O41" s="24"/>
      <c r="P41" s="24"/>
      <c r="Q41" s="24"/>
      <c r="R41" s="24"/>
    </row>
    <row r="42" spans="1:18" x14ac:dyDescent="0.2">
      <c r="A42" s="143"/>
      <c r="B42" s="132" t="s">
        <v>39</v>
      </c>
      <c r="C42" s="4" t="s">
        <v>15</v>
      </c>
      <c r="D42" s="6">
        <f>D21*0.75</f>
        <v>72075</v>
      </c>
      <c r="E42" s="6">
        <f t="shared" ref="E42:H42" si="39">D42</f>
        <v>72075</v>
      </c>
      <c r="F42" s="6">
        <f t="shared" si="39"/>
        <v>72075</v>
      </c>
      <c r="G42" s="6">
        <f t="shared" si="39"/>
        <v>72075</v>
      </c>
      <c r="H42" s="7">
        <f t="shared" si="39"/>
        <v>72075</v>
      </c>
      <c r="I42" s="7">
        <f>H42</f>
        <v>72075</v>
      </c>
      <c r="J42" s="7">
        <f t="shared" ref="J42" si="40">I42</f>
        <v>72075</v>
      </c>
      <c r="K42" s="145"/>
    </row>
    <row r="43" spans="1:18" x14ac:dyDescent="0.2">
      <c r="A43" s="143"/>
      <c r="B43" s="133"/>
      <c r="C43" s="19" t="s">
        <v>11</v>
      </c>
      <c r="D43" s="6">
        <f t="shared" ref="D43:J43" si="41">D39</f>
        <v>35000</v>
      </c>
      <c r="E43" s="6">
        <f t="shared" si="41"/>
        <v>29700</v>
      </c>
      <c r="F43" s="6">
        <f t="shared" si="41"/>
        <v>26500</v>
      </c>
      <c r="G43" s="6">
        <f t="shared" si="41"/>
        <v>23400</v>
      </c>
      <c r="H43" s="7">
        <f t="shared" si="41"/>
        <v>20200</v>
      </c>
      <c r="I43" s="7">
        <f t="shared" si="41"/>
        <v>17000</v>
      </c>
      <c r="J43" s="7">
        <f t="shared" si="41"/>
        <v>13800</v>
      </c>
      <c r="K43" s="145"/>
    </row>
    <row r="44" spans="1:18" x14ac:dyDescent="0.2">
      <c r="A44" s="143"/>
      <c r="B44" s="133"/>
      <c r="C44" s="36" t="s">
        <v>47</v>
      </c>
      <c r="D44" s="31">
        <f>((D42-D43)*0.95)*2</f>
        <v>70442.5</v>
      </c>
      <c r="E44" s="31">
        <f t="shared" ref="E44:J44" si="42">((E42-E43)*0.95)*2</f>
        <v>80512.5</v>
      </c>
      <c r="F44" s="31">
        <f t="shared" si="42"/>
        <v>86592.5</v>
      </c>
      <c r="G44" s="31">
        <f t="shared" si="42"/>
        <v>92482.5</v>
      </c>
      <c r="H44" s="31">
        <f t="shared" si="42"/>
        <v>98562.5</v>
      </c>
      <c r="I44" s="31">
        <f t="shared" si="42"/>
        <v>104642.5</v>
      </c>
      <c r="J44" s="31">
        <f t="shared" si="42"/>
        <v>110722.5</v>
      </c>
      <c r="K44" s="145"/>
    </row>
    <row r="45" spans="1:18" ht="17" thickBot="1" x14ac:dyDescent="0.25">
      <c r="A45" s="143"/>
      <c r="B45" s="133"/>
      <c r="C45" s="41" t="s">
        <v>48</v>
      </c>
      <c r="D45" s="31">
        <f>(D42-D43)</f>
        <v>37075</v>
      </c>
      <c r="E45" s="31">
        <f t="shared" ref="E45:J45" si="43">(E42-E43)</f>
        <v>42375</v>
      </c>
      <c r="F45" s="31">
        <f t="shared" si="43"/>
        <v>45575</v>
      </c>
      <c r="G45" s="31">
        <f t="shared" si="43"/>
        <v>48675</v>
      </c>
      <c r="H45" s="31">
        <f t="shared" si="43"/>
        <v>51875</v>
      </c>
      <c r="I45" s="31">
        <f t="shared" si="43"/>
        <v>55075</v>
      </c>
      <c r="J45" s="31">
        <f t="shared" si="43"/>
        <v>58275</v>
      </c>
      <c r="K45" s="145"/>
    </row>
    <row r="46" spans="1:18" x14ac:dyDescent="0.2">
      <c r="A46" s="143"/>
      <c r="B46" s="132" t="s">
        <v>40</v>
      </c>
      <c r="C46" s="4" t="s">
        <v>15</v>
      </c>
      <c r="D46" s="6">
        <f>D42*1.05</f>
        <v>75678.75</v>
      </c>
      <c r="E46" s="6">
        <f t="shared" ref="E46:H46" si="44">D46</f>
        <v>75678.75</v>
      </c>
      <c r="F46" s="6">
        <f t="shared" si="44"/>
        <v>75678.75</v>
      </c>
      <c r="G46" s="6">
        <f t="shared" si="44"/>
        <v>75678.75</v>
      </c>
      <c r="H46" s="7">
        <f t="shared" si="44"/>
        <v>75678.75</v>
      </c>
      <c r="I46" s="7">
        <f>I42*1.05</f>
        <v>75678.75</v>
      </c>
      <c r="J46" s="7">
        <f t="shared" ref="J46" si="45">I46</f>
        <v>75678.75</v>
      </c>
      <c r="K46" s="145"/>
    </row>
    <row r="47" spans="1:18" x14ac:dyDescent="0.2">
      <c r="A47" s="143"/>
      <c r="B47" s="133"/>
      <c r="C47" s="19" t="s">
        <v>11</v>
      </c>
      <c r="D47" s="6">
        <f t="shared" ref="D47:J47" si="46">D43</f>
        <v>35000</v>
      </c>
      <c r="E47" s="6">
        <f t="shared" si="46"/>
        <v>29700</v>
      </c>
      <c r="F47" s="6">
        <f t="shared" si="46"/>
        <v>26500</v>
      </c>
      <c r="G47" s="6">
        <f t="shared" si="46"/>
        <v>23400</v>
      </c>
      <c r="H47" s="7">
        <f t="shared" si="46"/>
        <v>20200</v>
      </c>
      <c r="I47" s="7">
        <f t="shared" si="46"/>
        <v>17000</v>
      </c>
      <c r="J47" s="7">
        <f t="shared" si="46"/>
        <v>13800</v>
      </c>
      <c r="K47" s="145"/>
    </row>
    <row r="48" spans="1:18" x14ac:dyDescent="0.2">
      <c r="A48" s="143"/>
      <c r="B48" s="133"/>
      <c r="C48" s="37" t="s">
        <v>47</v>
      </c>
      <c r="D48" s="32">
        <f>((D46-D47)*0.95)*2</f>
        <v>77289.625</v>
      </c>
      <c r="E48" s="32">
        <f t="shared" ref="E48:J48" si="47">((E46-E47)*0.95)*2</f>
        <v>87359.625</v>
      </c>
      <c r="F48" s="32">
        <f t="shared" si="47"/>
        <v>93439.625</v>
      </c>
      <c r="G48" s="32">
        <f t="shared" si="47"/>
        <v>99329.625</v>
      </c>
      <c r="H48" s="32">
        <f t="shared" si="47"/>
        <v>105409.625</v>
      </c>
      <c r="I48" s="32">
        <f t="shared" si="47"/>
        <v>111489.625</v>
      </c>
      <c r="J48" s="32">
        <f t="shared" si="47"/>
        <v>117569.625</v>
      </c>
      <c r="K48" s="145"/>
    </row>
    <row r="49" spans="1:11" ht="17" thickBot="1" x14ac:dyDescent="0.25">
      <c r="A49" s="143"/>
      <c r="B49" s="133"/>
      <c r="C49" s="39" t="s">
        <v>48</v>
      </c>
      <c r="D49" s="32">
        <f>(D46-D47)</f>
        <v>40678.75</v>
      </c>
      <c r="E49" s="32">
        <f t="shared" ref="E49:J49" si="48">(E46-E47)</f>
        <v>45978.75</v>
      </c>
      <c r="F49" s="32">
        <f t="shared" si="48"/>
        <v>49178.75</v>
      </c>
      <c r="G49" s="32">
        <f t="shared" si="48"/>
        <v>52278.75</v>
      </c>
      <c r="H49" s="32">
        <f t="shared" si="48"/>
        <v>55478.75</v>
      </c>
      <c r="I49" s="32">
        <f t="shared" si="48"/>
        <v>58678.75</v>
      </c>
      <c r="J49" s="32">
        <f t="shared" si="48"/>
        <v>61878.75</v>
      </c>
      <c r="K49" s="145"/>
    </row>
    <row r="50" spans="1:11" x14ac:dyDescent="0.2">
      <c r="A50" s="143"/>
      <c r="B50" s="132" t="s">
        <v>41</v>
      </c>
      <c r="C50" s="4" t="s">
        <v>15</v>
      </c>
      <c r="D50" s="6">
        <f>D46*1.05</f>
        <v>79462.6875</v>
      </c>
      <c r="E50" s="6">
        <f t="shared" ref="E50:H50" si="49">D50</f>
        <v>79462.6875</v>
      </c>
      <c r="F50" s="6">
        <f t="shared" si="49"/>
        <v>79462.6875</v>
      </c>
      <c r="G50" s="6">
        <f t="shared" si="49"/>
        <v>79462.6875</v>
      </c>
      <c r="H50" s="7">
        <f t="shared" si="49"/>
        <v>79462.6875</v>
      </c>
      <c r="I50" s="7">
        <f>I46*1.05</f>
        <v>79462.6875</v>
      </c>
      <c r="J50" s="7">
        <f t="shared" ref="J50" si="50">I50</f>
        <v>79462.6875</v>
      </c>
      <c r="K50" s="145"/>
    </row>
    <row r="51" spans="1:11" x14ac:dyDescent="0.2">
      <c r="A51" s="143"/>
      <c r="B51" s="133"/>
      <c r="C51" s="19" t="s">
        <v>11</v>
      </c>
      <c r="D51" s="6">
        <f t="shared" ref="D51:J51" si="51">D47</f>
        <v>35000</v>
      </c>
      <c r="E51" s="6">
        <f t="shared" si="51"/>
        <v>29700</v>
      </c>
      <c r="F51" s="6">
        <f t="shared" si="51"/>
        <v>26500</v>
      </c>
      <c r="G51" s="6">
        <f t="shared" si="51"/>
        <v>23400</v>
      </c>
      <c r="H51" s="7">
        <f t="shared" si="51"/>
        <v>20200</v>
      </c>
      <c r="I51" s="7">
        <f t="shared" si="51"/>
        <v>17000</v>
      </c>
      <c r="J51" s="7">
        <f t="shared" si="51"/>
        <v>13800</v>
      </c>
      <c r="K51" s="145"/>
    </row>
    <row r="52" spans="1:11" x14ac:dyDescent="0.2">
      <c r="A52" s="143"/>
      <c r="B52" s="133"/>
      <c r="C52" s="38" t="s">
        <v>47</v>
      </c>
      <c r="D52" s="33">
        <f>((D50-D51)*0.95)*2</f>
        <v>84479.106249999997</v>
      </c>
      <c r="E52" s="33">
        <f t="shared" ref="E52:J52" si="52">((E50-E51)*0.95)*2</f>
        <v>94549.106249999997</v>
      </c>
      <c r="F52" s="33">
        <f t="shared" si="52"/>
        <v>100629.10625</v>
      </c>
      <c r="G52" s="33">
        <f t="shared" si="52"/>
        <v>106519.10625</v>
      </c>
      <c r="H52" s="33">
        <f t="shared" si="52"/>
        <v>112599.10625</v>
      </c>
      <c r="I52" s="33">
        <f t="shared" si="52"/>
        <v>118679.10625</v>
      </c>
      <c r="J52" s="33">
        <f t="shared" si="52"/>
        <v>124759.10625</v>
      </c>
      <c r="K52" s="145"/>
    </row>
    <row r="53" spans="1:11" x14ac:dyDescent="0.2">
      <c r="A53" s="143"/>
      <c r="B53" s="133"/>
      <c r="C53" s="40" t="s">
        <v>48</v>
      </c>
      <c r="D53" s="33">
        <f>(D50-D51)</f>
        <v>44462.6875</v>
      </c>
      <c r="E53" s="33">
        <f t="shared" ref="E53:J53" si="53">(E50-E51)</f>
        <v>49762.6875</v>
      </c>
      <c r="F53" s="33">
        <f t="shared" si="53"/>
        <v>52962.6875</v>
      </c>
      <c r="G53" s="33">
        <f t="shared" si="53"/>
        <v>56062.6875</v>
      </c>
      <c r="H53" s="33">
        <f t="shared" si="53"/>
        <v>59262.6875</v>
      </c>
      <c r="I53" s="33">
        <f t="shared" si="53"/>
        <v>62462.6875</v>
      </c>
      <c r="J53" s="33">
        <f t="shared" si="53"/>
        <v>65662.6875</v>
      </c>
      <c r="K53" s="145"/>
    </row>
    <row r="54" spans="1:11" x14ac:dyDescent="0.2">
      <c r="A54" s="143"/>
      <c r="B54" s="147" t="s">
        <v>13</v>
      </c>
      <c r="C54" s="148"/>
      <c r="D54" s="33">
        <f t="shared" ref="D54:J54" si="54">SUM(D40,D44,D48,D52)</f>
        <v>298378.73125000001</v>
      </c>
      <c r="E54" s="33">
        <f t="shared" si="54"/>
        <v>338658.73125000001</v>
      </c>
      <c r="F54" s="33">
        <f t="shared" si="54"/>
        <v>362978.73125000001</v>
      </c>
      <c r="G54" s="33">
        <f t="shared" si="54"/>
        <v>386538.73125000001</v>
      </c>
      <c r="H54" s="33">
        <f t="shared" si="54"/>
        <v>410858.73125000001</v>
      </c>
      <c r="I54" s="33">
        <f t="shared" si="54"/>
        <v>435178.73125000001</v>
      </c>
      <c r="J54" s="33">
        <f t="shared" si="54"/>
        <v>459498.73125000001</v>
      </c>
      <c r="K54" s="145"/>
    </row>
    <row r="55" spans="1:11" ht="16" customHeight="1" x14ac:dyDescent="0.2">
      <c r="A55" s="134" t="s">
        <v>16</v>
      </c>
      <c r="B55" s="134"/>
      <c r="C55" s="134"/>
      <c r="D55" s="134"/>
      <c r="E55" s="134"/>
      <c r="F55" s="134"/>
      <c r="G55" s="134"/>
      <c r="H55" s="134"/>
      <c r="I55" s="134"/>
      <c r="J55" s="134"/>
      <c r="K55" s="134"/>
    </row>
    <row r="56" spans="1:11" ht="16" customHeight="1" x14ac:dyDescent="0.2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4"/>
    </row>
    <row r="57" spans="1:11" ht="17" customHeight="1" x14ac:dyDescent="0.2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4"/>
    </row>
    <row r="58" spans="1:11" x14ac:dyDescent="0.2">
      <c r="A58" s="135" t="s">
        <v>17</v>
      </c>
      <c r="B58" s="136"/>
      <c r="C58" s="139" t="s">
        <v>18</v>
      </c>
      <c r="D58" s="139"/>
      <c r="E58" s="8">
        <v>10000</v>
      </c>
      <c r="F58" s="9"/>
      <c r="G58" s="10"/>
    </row>
    <row r="59" spans="1:11" ht="16" customHeight="1" x14ac:dyDescent="0.2">
      <c r="A59" s="135"/>
      <c r="B59" s="136"/>
      <c r="C59" s="116" t="s">
        <v>19</v>
      </c>
      <c r="D59" s="116"/>
      <c r="E59" s="11">
        <v>3000</v>
      </c>
      <c r="F59" s="9"/>
      <c r="G59" s="10"/>
    </row>
    <row r="60" spans="1:11" ht="16" customHeight="1" thickBot="1" x14ac:dyDescent="0.25">
      <c r="A60" s="137"/>
      <c r="B60" s="138"/>
      <c r="C60" s="118" t="s">
        <v>20</v>
      </c>
      <c r="D60" s="118"/>
      <c r="E60" s="11">
        <v>5000</v>
      </c>
      <c r="F60" s="12"/>
      <c r="G60" s="13"/>
    </row>
    <row r="61" spans="1:11" ht="33" customHeight="1" thickBot="1" x14ac:dyDescent="0.25">
      <c r="A61" s="14" t="s">
        <v>21</v>
      </c>
      <c r="B61" s="15" t="s">
        <v>22</v>
      </c>
      <c r="C61" s="16" t="s">
        <v>23</v>
      </c>
      <c r="D61" s="16" t="s">
        <v>24</v>
      </c>
      <c r="E61" s="16" t="s">
        <v>25</v>
      </c>
      <c r="F61" s="17" t="s">
        <v>26</v>
      </c>
      <c r="G61" s="15" t="s">
        <v>27</v>
      </c>
      <c r="H61" s="15" t="s">
        <v>29</v>
      </c>
    </row>
    <row r="62" spans="1:11" ht="14.5" customHeight="1" thickBot="1" x14ac:dyDescent="0.25">
      <c r="A62" s="21" t="s">
        <v>30</v>
      </c>
      <c r="B62" s="18">
        <f>B63*2</f>
        <v>9000</v>
      </c>
      <c r="C62" s="18">
        <f t="shared" ref="C62:G62" si="55">C63*2</f>
        <v>7000</v>
      </c>
      <c r="D62" s="18">
        <v>1000</v>
      </c>
      <c r="E62" s="18">
        <f t="shared" si="55"/>
        <v>1500</v>
      </c>
      <c r="F62" s="18">
        <f t="shared" si="55"/>
        <v>1000</v>
      </c>
      <c r="G62" s="18">
        <f t="shared" si="55"/>
        <v>1000</v>
      </c>
      <c r="H62" s="18">
        <f>SUM(B62:G62)</f>
        <v>20500</v>
      </c>
    </row>
    <row r="63" spans="1:11" ht="14.5" customHeight="1" x14ac:dyDescent="0.2">
      <c r="A63" s="52" t="s">
        <v>31</v>
      </c>
      <c r="B63" s="53">
        <v>4500</v>
      </c>
      <c r="C63" s="53">
        <v>3500</v>
      </c>
      <c r="D63" s="53">
        <v>1000</v>
      </c>
      <c r="E63" s="53">
        <v>750</v>
      </c>
      <c r="F63" s="53">
        <v>500</v>
      </c>
      <c r="G63" s="53">
        <v>500</v>
      </c>
      <c r="H63" s="53">
        <f>SUM(B63:G63)</f>
        <v>10750</v>
      </c>
    </row>
    <row r="64" spans="1:11" x14ac:dyDescent="0.2">
      <c r="A64" s="140" t="s">
        <v>45</v>
      </c>
      <c r="B64" s="140"/>
      <c r="C64" s="140"/>
      <c r="D64" s="140"/>
      <c r="E64" s="140"/>
      <c r="F64" s="140"/>
      <c r="G64" s="140"/>
      <c r="H64" s="140"/>
    </row>
    <row r="65" spans="1:9" ht="28" customHeight="1" x14ac:dyDescent="0.2">
      <c r="A65" s="140" t="s">
        <v>46</v>
      </c>
      <c r="B65" s="140"/>
      <c r="C65" s="140"/>
      <c r="D65" s="140"/>
      <c r="E65" s="140"/>
      <c r="F65" s="140"/>
      <c r="G65" s="140"/>
      <c r="H65" s="140"/>
    </row>
    <row r="66" spans="1:9" ht="45" customHeight="1" x14ac:dyDescent="0.2">
      <c r="A66" s="141" t="s">
        <v>43</v>
      </c>
      <c r="B66" s="141"/>
      <c r="C66" s="141"/>
      <c r="D66" s="141"/>
      <c r="E66" s="141"/>
      <c r="F66" s="141"/>
      <c r="G66" s="141"/>
      <c r="H66" s="141"/>
    </row>
    <row r="67" spans="1:9" x14ac:dyDescent="0.2">
      <c r="A67" s="140" t="s">
        <v>32</v>
      </c>
      <c r="B67" s="140"/>
      <c r="C67" s="140"/>
      <c r="D67" s="140"/>
      <c r="E67" s="140"/>
      <c r="F67" s="140"/>
      <c r="G67" s="140"/>
      <c r="H67" s="140"/>
    </row>
    <row r="68" spans="1:9" ht="28.75" customHeight="1" x14ac:dyDescent="0.2">
      <c r="A68" s="129" t="s">
        <v>94</v>
      </c>
      <c r="B68" s="130"/>
      <c r="C68" s="130"/>
      <c r="D68" s="130"/>
      <c r="E68" s="130"/>
      <c r="F68" s="130"/>
      <c r="G68" s="130"/>
      <c r="H68" s="130"/>
      <c r="I68" s="131"/>
    </row>
    <row r="69" spans="1:9" ht="39" customHeight="1" x14ac:dyDescent="0.2"/>
  </sheetData>
  <mergeCells count="25">
    <mergeCell ref="B54:C54"/>
    <mergeCell ref="A66:H66"/>
    <mergeCell ref="A67:H67"/>
    <mergeCell ref="A64:H64"/>
    <mergeCell ref="A65:H65"/>
    <mergeCell ref="A58:B60"/>
    <mergeCell ref="C58:D58"/>
    <mergeCell ref="C59:D59"/>
    <mergeCell ref="C60:D60"/>
    <mergeCell ref="A68:I68"/>
    <mergeCell ref="A55:K57"/>
    <mergeCell ref="A1:K10"/>
    <mergeCell ref="A11:K14"/>
    <mergeCell ref="A15:A36"/>
    <mergeCell ref="K15:K54"/>
    <mergeCell ref="B16:B20"/>
    <mergeCell ref="B21:B25"/>
    <mergeCell ref="B26:B30"/>
    <mergeCell ref="B31:B35"/>
    <mergeCell ref="B36:C36"/>
    <mergeCell ref="A38:A54"/>
    <mergeCell ref="B38:B41"/>
    <mergeCell ref="B42:B45"/>
    <mergeCell ref="B46:B49"/>
    <mergeCell ref="B50:B53"/>
  </mergeCells>
  <pageMargins left="0.7" right="0.7" top="0.75" bottom="0.75" header="0.3" footer="0.3"/>
  <pageSetup paperSize="9" scale="3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E8A81-7431-0344-9E7B-22063C212A3F}">
  <sheetPr>
    <pageSetUpPr fitToPage="1"/>
  </sheetPr>
  <dimension ref="A1:R68"/>
  <sheetViews>
    <sheetView topLeftCell="A7" zoomScale="91" workbookViewId="0">
      <selection activeCell="G48" sqref="G48"/>
    </sheetView>
  </sheetViews>
  <sheetFormatPr baseColWidth="10" defaultColWidth="8.83203125" defaultRowHeight="16" x14ac:dyDescent="0.2"/>
  <cols>
    <col min="1" max="1" width="17.33203125" customWidth="1"/>
    <col min="2" max="2" width="23" bestFit="1" customWidth="1"/>
    <col min="3" max="3" width="41.1640625" bestFit="1" customWidth="1"/>
    <col min="4" max="4" width="16.83203125" customWidth="1"/>
    <col min="5" max="5" width="15.1640625" customWidth="1"/>
    <col min="6" max="6" width="14.83203125" customWidth="1"/>
    <col min="7" max="7" width="18.1640625" customWidth="1"/>
    <col min="8" max="11" width="16.6640625" customWidth="1"/>
  </cols>
  <sheetData>
    <row r="1" spans="1:11" x14ac:dyDescent="0.2">
      <c r="A1" s="119"/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x14ac:dyDescent="0.2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</row>
    <row r="3" spans="1:11" x14ac:dyDescent="0.2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</row>
    <row r="4" spans="1:11" x14ac:dyDescent="0.2">
      <c r="A4" s="119"/>
      <c r="B4" s="119"/>
      <c r="C4" s="119"/>
      <c r="D4" s="119"/>
      <c r="E4" s="119"/>
      <c r="F4" s="119"/>
      <c r="G4" s="119"/>
      <c r="H4" s="119"/>
      <c r="I4" s="119"/>
      <c r="J4" s="119"/>
      <c r="K4" s="119"/>
    </row>
    <row r="5" spans="1:11" x14ac:dyDescent="0.2">
      <c r="A5" s="119"/>
      <c r="B5" s="119"/>
      <c r="C5" s="119"/>
      <c r="D5" s="119"/>
      <c r="E5" s="119"/>
      <c r="F5" s="119"/>
      <c r="G5" s="119"/>
      <c r="H5" s="119"/>
      <c r="I5" s="119"/>
      <c r="J5" s="119"/>
      <c r="K5" s="119"/>
    </row>
    <row r="6" spans="1:11" x14ac:dyDescent="0.2">
      <c r="A6" s="119"/>
      <c r="B6" s="119"/>
      <c r="C6" s="119"/>
      <c r="D6" s="119"/>
      <c r="E6" s="119"/>
      <c r="F6" s="119"/>
      <c r="G6" s="119"/>
      <c r="H6" s="119"/>
      <c r="I6" s="119"/>
      <c r="J6" s="119"/>
      <c r="K6" s="119"/>
    </row>
    <row r="7" spans="1:11" x14ac:dyDescent="0.2">
      <c r="A7" s="119"/>
      <c r="B7" s="119"/>
      <c r="C7" s="119"/>
      <c r="D7" s="119"/>
      <c r="E7" s="119"/>
      <c r="F7" s="119"/>
      <c r="G7" s="119"/>
      <c r="H7" s="119"/>
      <c r="I7" s="119"/>
      <c r="J7" s="119"/>
      <c r="K7" s="119"/>
    </row>
    <row r="8" spans="1:11" x14ac:dyDescent="0.2">
      <c r="A8" s="119"/>
      <c r="B8" s="119"/>
      <c r="C8" s="119"/>
      <c r="D8" s="119"/>
      <c r="E8" s="119"/>
      <c r="F8" s="119"/>
      <c r="G8" s="119"/>
      <c r="H8" s="119"/>
      <c r="I8" s="119"/>
      <c r="J8" s="119"/>
      <c r="K8" s="119"/>
    </row>
    <row r="9" spans="1:11" x14ac:dyDescent="0.2">
      <c r="A9" s="119"/>
      <c r="B9" s="119"/>
      <c r="C9" s="119"/>
      <c r="D9" s="119"/>
      <c r="E9" s="119"/>
      <c r="F9" s="119"/>
      <c r="G9" s="119"/>
      <c r="H9" s="119"/>
      <c r="I9" s="119"/>
      <c r="J9" s="119"/>
      <c r="K9" s="119"/>
    </row>
    <row r="10" spans="1:11" x14ac:dyDescent="0.2">
      <c r="A10" s="119"/>
      <c r="B10" s="119"/>
      <c r="C10" s="119"/>
      <c r="D10" s="119"/>
      <c r="E10" s="119"/>
      <c r="F10" s="119"/>
      <c r="G10" s="119"/>
      <c r="H10" s="119"/>
      <c r="I10" s="119"/>
      <c r="J10" s="119"/>
      <c r="K10" s="119"/>
    </row>
    <row r="11" spans="1:11" ht="14.5" customHeight="1" x14ac:dyDescent="0.2">
      <c r="A11" s="151" t="s">
        <v>85</v>
      </c>
      <c r="B11" s="152"/>
      <c r="C11" s="152"/>
      <c r="D11" s="152"/>
      <c r="E11" s="152"/>
      <c r="F11" s="152"/>
      <c r="G11" s="152"/>
      <c r="H11" s="152"/>
      <c r="I11" s="152"/>
      <c r="J11" s="152"/>
      <c r="K11" s="152"/>
    </row>
    <row r="12" spans="1:11" ht="14.5" customHeight="1" x14ac:dyDescent="0.2">
      <c r="A12" s="154"/>
      <c r="B12" s="155"/>
      <c r="C12" s="155"/>
      <c r="D12" s="155"/>
      <c r="E12" s="155"/>
      <c r="F12" s="155"/>
      <c r="G12" s="155"/>
      <c r="H12" s="155"/>
      <c r="I12" s="155"/>
      <c r="J12" s="155"/>
      <c r="K12" s="155"/>
    </row>
    <row r="13" spans="1:11" ht="14.5" customHeight="1" x14ac:dyDescent="0.2">
      <c r="A13" s="154"/>
      <c r="B13" s="155"/>
      <c r="C13" s="155"/>
      <c r="D13" s="155"/>
      <c r="E13" s="155"/>
      <c r="F13" s="155"/>
      <c r="G13" s="155"/>
      <c r="H13" s="155"/>
      <c r="I13" s="155"/>
      <c r="J13" s="155"/>
      <c r="K13" s="155"/>
    </row>
    <row r="14" spans="1:11" ht="66.5" customHeight="1" x14ac:dyDescent="0.2">
      <c r="A14" s="157"/>
      <c r="B14" s="158"/>
      <c r="C14" s="158"/>
      <c r="D14" s="158"/>
      <c r="E14" s="158"/>
      <c r="F14" s="158"/>
      <c r="G14" s="158"/>
      <c r="H14" s="158"/>
      <c r="I14" s="158"/>
      <c r="J14" s="158"/>
      <c r="K14" s="158"/>
    </row>
    <row r="15" spans="1:11" ht="85.25" customHeight="1" x14ac:dyDescent="0.2">
      <c r="A15" s="144" t="s">
        <v>0</v>
      </c>
      <c r="B15" s="62" t="s">
        <v>1</v>
      </c>
      <c r="C15" s="63" t="s">
        <v>2</v>
      </c>
      <c r="D15" s="62" t="s">
        <v>64</v>
      </c>
      <c r="E15" s="62" t="s">
        <v>65</v>
      </c>
      <c r="F15" s="62" t="s">
        <v>66</v>
      </c>
      <c r="G15" s="62" t="s">
        <v>67</v>
      </c>
      <c r="H15" s="62" t="s">
        <v>68</v>
      </c>
      <c r="I15" s="62" t="s">
        <v>69</v>
      </c>
      <c r="J15" s="62" t="s">
        <v>70</v>
      </c>
      <c r="K15" s="144" t="s">
        <v>9</v>
      </c>
    </row>
    <row r="16" spans="1:11" x14ac:dyDescent="0.2">
      <c r="A16" s="145"/>
      <c r="B16" s="126" t="s">
        <v>38</v>
      </c>
      <c r="C16" s="34" t="s">
        <v>10</v>
      </c>
      <c r="D16" s="6">
        <v>69100</v>
      </c>
      <c r="E16" s="6">
        <f>D16</f>
        <v>69100</v>
      </c>
      <c r="F16" s="6">
        <f t="shared" ref="F16:J16" si="0">E16</f>
        <v>69100</v>
      </c>
      <c r="G16" s="7">
        <f t="shared" si="0"/>
        <v>69100</v>
      </c>
      <c r="H16" s="7">
        <f t="shared" si="0"/>
        <v>69100</v>
      </c>
      <c r="I16" s="7">
        <f t="shared" si="0"/>
        <v>69100</v>
      </c>
      <c r="J16" s="7">
        <f t="shared" si="0"/>
        <v>69100</v>
      </c>
      <c r="K16" s="145"/>
    </row>
    <row r="17" spans="1:18" x14ac:dyDescent="0.2">
      <c r="A17" s="145"/>
      <c r="B17" s="127"/>
      <c r="C17" s="34" t="s">
        <v>11</v>
      </c>
      <c r="D17" s="6">
        <v>15000</v>
      </c>
      <c r="E17" s="6">
        <v>13000</v>
      </c>
      <c r="F17" s="6">
        <v>11000</v>
      </c>
      <c r="G17" s="6">
        <v>9000</v>
      </c>
      <c r="H17" s="7">
        <v>7000</v>
      </c>
      <c r="I17" s="7">
        <v>5000</v>
      </c>
      <c r="J17" s="7">
        <v>3000</v>
      </c>
      <c r="K17" s="145"/>
    </row>
    <row r="18" spans="1:18" x14ac:dyDescent="0.2">
      <c r="A18" s="145"/>
      <c r="B18" s="127"/>
      <c r="C18" s="36" t="s">
        <v>44</v>
      </c>
      <c r="D18" s="31">
        <v>14000</v>
      </c>
      <c r="E18" s="31">
        <f>D18</f>
        <v>14000</v>
      </c>
      <c r="F18" s="31">
        <f t="shared" ref="F18:J18" si="1">E18</f>
        <v>14000</v>
      </c>
      <c r="G18" s="31">
        <f t="shared" si="1"/>
        <v>14000</v>
      </c>
      <c r="H18" s="31">
        <f t="shared" si="1"/>
        <v>14000</v>
      </c>
      <c r="I18" s="31">
        <f t="shared" si="1"/>
        <v>14000</v>
      </c>
      <c r="J18" s="31">
        <f t="shared" si="1"/>
        <v>14000</v>
      </c>
      <c r="K18" s="145"/>
    </row>
    <row r="19" spans="1:18" x14ac:dyDescent="0.2">
      <c r="A19" s="145"/>
      <c r="B19" s="127"/>
      <c r="C19" s="36" t="s">
        <v>47</v>
      </c>
      <c r="D19" s="31">
        <f>(((D16-D17)*0.95)*2)-D18*2</f>
        <v>74790</v>
      </c>
      <c r="E19" s="31">
        <f t="shared" ref="E19:J19" si="2">(((E16-E17)*0.95)*2)-E18*2</f>
        <v>78590</v>
      </c>
      <c r="F19" s="31">
        <f t="shared" si="2"/>
        <v>82390</v>
      </c>
      <c r="G19" s="31">
        <f t="shared" si="2"/>
        <v>86190</v>
      </c>
      <c r="H19" s="31">
        <f t="shared" si="2"/>
        <v>89990</v>
      </c>
      <c r="I19" s="31">
        <f t="shared" si="2"/>
        <v>93790</v>
      </c>
      <c r="J19" s="31">
        <f t="shared" si="2"/>
        <v>97590</v>
      </c>
      <c r="K19" s="145"/>
      <c r="L19" s="24"/>
    </row>
    <row r="20" spans="1:18" x14ac:dyDescent="0.2">
      <c r="A20" s="145"/>
      <c r="B20" s="127"/>
      <c r="C20" s="36" t="s">
        <v>48</v>
      </c>
      <c r="D20" s="31">
        <f>(D16-D17)-D18</f>
        <v>40100</v>
      </c>
      <c r="E20" s="31">
        <f t="shared" ref="E20:J20" si="3">(E16-E17)-E18</f>
        <v>42100</v>
      </c>
      <c r="F20" s="31">
        <f t="shared" si="3"/>
        <v>44100</v>
      </c>
      <c r="G20" s="31">
        <f t="shared" si="3"/>
        <v>46100</v>
      </c>
      <c r="H20" s="31">
        <f t="shared" si="3"/>
        <v>48100</v>
      </c>
      <c r="I20" s="31">
        <f t="shared" si="3"/>
        <v>50100</v>
      </c>
      <c r="J20" s="31">
        <f t="shared" si="3"/>
        <v>52100</v>
      </c>
      <c r="K20" s="145"/>
      <c r="L20" s="24"/>
      <c r="M20" s="24"/>
      <c r="N20" s="24"/>
      <c r="O20" s="24"/>
      <c r="P20" s="24"/>
      <c r="Q20" s="24"/>
      <c r="R20" s="24"/>
    </row>
    <row r="21" spans="1:18" ht="16" customHeight="1" x14ac:dyDescent="0.2">
      <c r="A21" s="145"/>
      <c r="B21" s="126" t="s">
        <v>39</v>
      </c>
      <c r="C21" s="34" t="s">
        <v>12</v>
      </c>
      <c r="D21" s="6">
        <v>70900</v>
      </c>
      <c r="E21" s="6">
        <f t="shared" ref="E21:J21" si="4">D21</f>
        <v>70900</v>
      </c>
      <c r="F21" s="6">
        <f t="shared" si="4"/>
        <v>70900</v>
      </c>
      <c r="G21" s="7">
        <f t="shared" si="4"/>
        <v>70900</v>
      </c>
      <c r="H21" s="7">
        <f t="shared" si="4"/>
        <v>70900</v>
      </c>
      <c r="I21" s="7">
        <f t="shared" si="4"/>
        <v>70900</v>
      </c>
      <c r="J21" s="7">
        <f t="shared" si="4"/>
        <v>70900</v>
      </c>
      <c r="K21" s="145"/>
    </row>
    <row r="22" spans="1:18" x14ac:dyDescent="0.2">
      <c r="A22" s="145"/>
      <c r="B22" s="127"/>
      <c r="C22" s="34" t="s">
        <v>11</v>
      </c>
      <c r="D22" s="6">
        <f t="shared" ref="D22:J22" si="5">D17</f>
        <v>15000</v>
      </c>
      <c r="E22" s="6">
        <f t="shared" si="5"/>
        <v>13000</v>
      </c>
      <c r="F22" s="6">
        <f t="shared" si="5"/>
        <v>11000</v>
      </c>
      <c r="G22" s="7">
        <f t="shared" si="5"/>
        <v>9000</v>
      </c>
      <c r="H22" s="7">
        <f t="shared" si="5"/>
        <v>7000</v>
      </c>
      <c r="I22" s="7">
        <f t="shared" si="5"/>
        <v>5000</v>
      </c>
      <c r="J22" s="7">
        <f t="shared" si="5"/>
        <v>3000</v>
      </c>
      <c r="K22" s="145"/>
    </row>
    <row r="23" spans="1:18" x14ac:dyDescent="0.2">
      <c r="A23" s="145"/>
      <c r="B23" s="127"/>
      <c r="C23" s="37" t="s">
        <v>44</v>
      </c>
      <c r="D23" s="32">
        <f>D18</f>
        <v>14000</v>
      </c>
      <c r="E23" s="32">
        <f>D23</f>
        <v>14000</v>
      </c>
      <c r="F23" s="32">
        <f t="shared" ref="F23:J23" si="6">E23</f>
        <v>14000</v>
      </c>
      <c r="G23" s="32">
        <f t="shared" si="6"/>
        <v>14000</v>
      </c>
      <c r="H23" s="32">
        <f t="shared" si="6"/>
        <v>14000</v>
      </c>
      <c r="I23" s="32">
        <f t="shared" si="6"/>
        <v>14000</v>
      </c>
      <c r="J23" s="32">
        <f t="shared" si="6"/>
        <v>14000</v>
      </c>
      <c r="K23" s="145"/>
    </row>
    <row r="24" spans="1:18" x14ac:dyDescent="0.2">
      <c r="A24" s="145"/>
      <c r="B24" s="127"/>
      <c r="C24" s="37" t="s">
        <v>47</v>
      </c>
      <c r="D24" s="32">
        <f>(((D21-D22)*0.95)*2)-D23*2</f>
        <v>78210</v>
      </c>
      <c r="E24" s="32">
        <f t="shared" ref="E24:J24" si="7">(((E21-E22)*0.95)*2)-E23*2</f>
        <v>82010</v>
      </c>
      <c r="F24" s="32">
        <f t="shared" si="7"/>
        <v>85810</v>
      </c>
      <c r="G24" s="32">
        <f t="shared" si="7"/>
        <v>89610</v>
      </c>
      <c r="H24" s="32">
        <f t="shared" si="7"/>
        <v>93410</v>
      </c>
      <c r="I24" s="32">
        <f t="shared" si="7"/>
        <v>97210</v>
      </c>
      <c r="J24" s="32">
        <f t="shared" si="7"/>
        <v>101010</v>
      </c>
      <c r="K24" s="145"/>
    </row>
    <row r="25" spans="1:18" x14ac:dyDescent="0.2">
      <c r="A25" s="145"/>
      <c r="B25" s="127"/>
      <c r="C25" s="37" t="s">
        <v>48</v>
      </c>
      <c r="D25" s="32">
        <f>(D21-D22)-D23</f>
        <v>41900</v>
      </c>
      <c r="E25" s="32">
        <f t="shared" ref="E25:J25" si="8">(E21-E22)-E23</f>
        <v>43900</v>
      </c>
      <c r="F25" s="32">
        <f t="shared" si="8"/>
        <v>45900</v>
      </c>
      <c r="G25" s="32">
        <f t="shared" si="8"/>
        <v>47900</v>
      </c>
      <c r="H25" s="32">
        <f t="shared" si="8"/>
        <v>49900</v>
      </c>
      <c r="I25" s="32">
        <f t="shared" si="8"/>
        <v>51900</v>
      </c>
      <c r="J25" s="32">
        <f t="shared" si="8"/>
        <v>53900</v>
      </c>
      <c r="K25" s="145"/>
    </row>
    <row r="26" spans="1:18" x14ac:dyDescent="0.2">
      <c r="A26" s="145"/>
      <c r="B26" s="126" t="s">
        <v>40</v>
      </c>
      <c r="C26" s="34" t="s">
        <v>12</v>
      </c>
      <c r="D26" s="6">
        <f>D21*1.05</f>
        <v>74445</v>
      </c>
      <c r="E26" s="6">
        <f t="shared" ref="E26:J26" si="9">D26</f>
        <v>74445</v>
      </c>
      <c r="F26" s="6">
        <f t="shared" si="9"/>
        <v>74445</v>
      </c>
      <c r="G26" s="7">
        <f t="shared" si="9"/>
        <v>74445</v>
      </c>
      <c r="H26" s="7">
        <f t="shared" si="9"/>
        <v>74445</v>
      </c>
      <c r="I26" s="7">
        <f t="shared" si="9"/>
        <v>74445</v>
      </c>
      <c r="J26" s="7">
        <f t="shared" si="9"/>
        <v>74445</v>
      </c>
      <c r="K26" s="145"/>
    </row>
    <row r="27" spans="1:18" x14ac:dyDescent="0.2">
      <c r="A27" s="145"/>
      <c r="B27" s="127"/>
      <c r="C27" s="34" t="s">
        <v>11</v>
      </c>
      <c r="D27" s="6">
        <f t="shared" ref="D27:J27" si="10">D22</f>
        <v>15000</v>
      </c>
      <c r="E27" s="6">
        <f t="shared" si="10"/>
        <v>13000</v>
      </c>
      <c r="F27" s="6">
        <f t="shared" si="10"/>
        <v>11000</v>
      </c>
      <c r="G27" s="7">
        <f t="shared" si="10"/>
        <v>9000</v>
      </c>
      <c r="H27" s="7">
        <f t="shared" si="10"/>
        <v>7000</v>
      </c>
      <c r="I27" s="7">
        <f t="shared" si="10"/>
        <v>5000</v>
      </c>
      <c r="J27" s="7">
        <f t="shared" si="10"/>
        <v>3000</v>
      </c>
      <c r="K27" s="145"/>
    </row>
    <row r="28" spans="1:18" x14ac:dyDescent="0.2">
      <c r="A28" s="145"/>
      <c r="B28" s="127"/>
      <c r="C28" s="38" t="s">
        <v>44</v>
      </c>
      <c r="D28" s="33">
        <f>D23</f>
        <v>14000</v>
      </c>
      <c r="E28" s="33">
        <f>D28</f>
        <v>14000</v>
      </c>
      <c r="F28" s="33">
        <f t="shared" ref="F28:J28" si="11">E28</f>
        <v>14000</v>
      </c>
      <c r="G28" s="33">
        <f t="shared" si="11"/>
        <v>14000</v>
      </c>
      <c r="H28" s="33">
        <f t="shared" si="11"/>
        <v>14000</v>
      </c>
      <c r="I28" s="33">
        <f t="shared" si="11"/>
        <v>14000</v>
      </c>
      <c r="J28" s="33">
        <f t="shared" si="11"/>
        <v>14000</v>
      </c>
      <c r="K28" s="145"/>
    </row>
    <row r="29" spans="1:18" x14ac:dyDescent="0.2">
      <c r="A29" s="145"/>
      <c r="B29" s="127"/>
      <c r="C29" s="38" t="s">
        <v>47</v>
      </c>
      <c r="D29" s="33">
        <f>(((D26-D27)*0.95)*2)-D28*2</f>
        <v>84945.5</v>
      </c>
      <c r="E29" s="33">
        <f t="shared" ref="E29:J29" si="12">(((E26-E27)*0.95)*2)-E28*2</f>
        <v>88745.5</v>
      </c>
      <c r="F29" s="33">
        <f t="shared" si="12"/>
        <v>92545.5</v>
      </c>
      <c r="G29" s="33">
        <f t="shared" si="12"/>
        <v>96345.5</v>
      </c>
      <c r="H29" s="33">
        <f t="shared" si="12"/>
        <v>100145.5</v>
      </c>
      <c r="I29" s="33">
        <f t="shared" si="12"/>
        <v>103945.5</v>
      </c>
      <c r="J29" s="33">
        <f t="shared" si="12"/>
        <v>107745.5</v>
      </c>
      <c r="K29" s="145"/>
    </row>
    <row r="30" spans="1:18" x14ac:dyDescent="0.2">
      <c r="A30" s="145"/>
      <c r="B30" s="127"/>
      <c r="C30" s="38" t="s">
        <v>48</v>
      </c>
      <c r="D30" s="33">
        <f>(D26-D27)-D28</f>
        <v>45445</v>
      </c>
      <c r="E30" s="33">
        <f t="shared" ref="E30:J30" si="13">(E26-E27)-E28</f>
        <v>47445</v>
      </c>
      <c r="F30" s="33">
        <f t="shared" si="13"/>
        <v>49445</v>
      </c>
      <c r="G30" s="33">
        <f t="shared" si="13"/>
        <v>51445</v>
      </c>
      <c r="H30" s="33">
        <f t="shared" si="13"/>
        <v>53445</v>
      </c>
      <c r="I30" s="33">
        <f t="shared" si="13"/>
        <v>55445</v>
      </c>
      <c r="J30" s="33">
        <f t="shared" si="13"/>
        <v>57445</v>
      </c>
      <c r="K30" s="145"/>
    </row>
    <row r="31" spans="1:18" x14ac:dyDescent="0.2">
      <c r="A31" s="145"/>
      <c r="B31" s="126" t="s">
        <v>41</v>
      </c>
      <c r="C31" s="34" t="s">
        <v>12</v>
      </c>
      <c r="D31" s="6">
        <f>D26*1.05</f>
        <v>78167.25</v>
      </c>
      <c r="E31" s="6">
        <f t="shared" ref="E31" si="14">D31</f>
        <v>78167.25</v>
      </c>
      <c r="F31" s="6">
        <f t="shared" ref="F31" si="15">E31</f>
        <v>78167.25</v>
      </c>
      <c r="G31" s="7">
        <f t="shared" ref="G31" si="16">F31</f>
        <v>78167.25</v>
      </c>
      <c r="H31" s="7">
        <f t="shared" ref="H31" si="17">G31</f>
        <v>78167.25</v>
      </c>
      <c r="I31" s="7">
        <f t="shared" ref="I31" si="18">H31</f>
        <v>78167.25</v>
      </c>
      <c r="J31" s="7">
        <f t="shared" ref="J31" si="19">I31</f>
        <v>78167.25</v>
      </c>
      <c r="K31" s="145"/>
    </row>
    <row r="32" spans="1:18" x14ac:dyDescent="0.2">
      <c r="A32" s="145"/>
      <c r="B32" s="127"/>
      <c r="C32" s="34" t="s">
        <v>11</v>
      </c>
      <c r="D32" s="6">
        <f t="shared" ref="D32:J32" si="20">D27</f>
        <v>15000</v>
      </c>
      <c r="E32" s="6">
        <f t="shared" si="20"/>
        <v>13000</v>
      </c>
      <c r="F32" s="6">
        <f t="shared" si="20"/>
        <v>11000</v>
      </c>
      <c r="G32" s="7">
        <f t="shared" si="20"/>
        <v>9000</v>
      </c>
      <c r="H32" s="7">
        <f t="shared" si="20"/>
        <v>7000</v>
      </c>
      <c r="I32" s="7">
        <f t="shared" si="20"/>
        <v>5000</v>
      </c>
      <c r="J32" s="7">
        <f t="shared" si="20"/>
        <v>3000</v>
      </c>
      <c r="K32" s="145"/>
    </row>
    <row r="33" spans="1:18" x14ac:dyDescent="0.2">
      <c r="A33" s="145"/>
      <c r="B33" s="127"/>
      <c r="C33" s="38" t="s">
        <v>44</v>
      </c>
      <c r="D33" s="33">
        <f>D28</f>
        <v>14000</v>
      </c>
      <c r="E33" s="33">
        <f>D33</f>
        <v>14000</v>
      </c>
      <c r="F33" s="33">
        <f t="shared" ref="F33" si="21">E33</f>
        <v>14000</v>
      </c>
      <c r="G33" s="33">
        <f t="shared" ref="G33" si="22">F33</f>
        <v>14000</v>
      </c>
      <c r="H33" s="33">
        <f t="shared" ref="H33" si="23">G33</f>
        <v>14000</v>
      </c>
      <c r="I33" s="33">
        <f t="shared" ref="I33" si="24">H33</f>
        <v>14000</v>
      </c>
      <c r="J33" s="33">
        <f t="shared" ref="J33" si="25">I33</f>
        <v>14000</v>
      </c>
      <c r="K33" s="145"/>
    </row>
    <row r="34" spans="1:18" x14ac:dyDescent="0.2">
      <c r="A34" s="145"/>
      <c r="B34" s="127"/>
      <c r="C34" s="38" t="s">
        <v>47</v>
      </c>
      <c r="D34" s="33">
        <f>(((D31-D32)*0.95)*2)-D33*2</f>
        <v>92017.774999999994</v>
      </c>
      <c r="E34" s="33">
        <f t="shared" ref="E34:J34" si="26">(((E31-E32)*0.95)*2)-E33*2</f>
        <v>95817.774999999994</v>
      </c>
      <c r="F34" s="33">
        <f t="shared" si="26"/>
        <v>99617.774999999994</v>
      </c>
      <c r="G34" s="33">
        <f t="shared" si="26"/>
        <v>103417.77499999999</v>
      </c>
      <c r="H34" s="33">
        <f t="shared" si="26"/>
        <v>107217.77499999999</v>
      </c>
      <c r="I34" s="33">
        <f t="shared" si="26"/>
        <v>111017.77499999999</v>
      </c>
      <c r="J34" s="33">
        <f t="shared" si="26"/>
        <v>114817.77499999999</v>
      </c>
      <c r="K34" s="145"/>
    </row>
    <row r="35" spans="1:18" x14ac:dyDescent="0.2">
      <c r="A35" s="145"/>
      <c r="B35" s="127"/>
      <c r="C35" s="38" t="s">
        <v>48</v>
      </c>
      <c r="D35" s="33">
        <f>(D31-D32)-D33</f>
        <v>49167.25</v>
      </c>
      <c r="E35" s="33">
        <f t="shared" ref="E35:J35" si="27">(E31-E32)-E33</f>
        <v>51167.25</v>
      </c>
      <c r="F35" s="33">
        <f t="shared" si="27"/>
        <v>53167.25</v>
      </c>
      <c r="G35" s="33">
        <f t="shared" si="27"/>
        <v>55167.25</v>
      </c>
      <c r="H35" s="33">
        <f t="shared" si="27"/>
        <v>57167.25</v>
      </c>
      <c r="I35" s="33">
        <f t="shared" si="27"/>
        <v>59167.25</v>
      </c>
      <c r="J35" s="33">
        <f t="shared" si="27"/>
        <v>61167.25</v>
      </c>
      <c r="K35" s="145"/>
    </row>
    <row r="36" spans="1:18" x14ac:dyDescent="0.2">
      <c r="A36" s="146"/>
      <c r="B36" s="128" t="s">
        <v>13</v>
      </c>
      <c r="C36" s="128"/>
      <c r="D36" s="33">
        <f>SUM(D19,D24,D29,D34)</f>
        <v>329963.27500000002</v>
      </c>
      <c r="E36" s="33">
        <f t="shared" ref="E36:J36" si="28">SUM(E19,E24,E29,E34)</f>
        <v>345163.27500000002</v>
      </c>
      <c r="F36" s="33">
        <f t="shared" si="28"/>
        <v>360363.27500000002</v>
      </c>
      <c r="G36" s="33">
        <f t="shared" si="28"/>
        <v>375563.27500000002</v>
      </c>
      <c r="H36" s="33">
        <f t="shared" si="28"/>
        <v>390763.27500000002</v>
      </c>
      <c r="I36" s="33">
        <f t="shared" si="28"/>
        <v>405963.27500000002</v>
      </c>
      <c r="J36" s="33">
        <f t="shared" si="28"/>
        <v>421163.27500000002</v>
      </c>
      <c r="K36" s="145"/>
    </row>
    <row r="37" spans="1:18" x14ac:dyDescent="0.2">
      <c r="A37" s="160"/>
      <c r="B37" s="161"/>
      <c r="C37" s="161"/>
      <c r="D37" s="161"/>
      <c r="E37" s="161"/>
      <c r="F37" s="161"/>
      <c r="G37" s="161"/>
      <c r="H37" s="161"/>
      <c r="I37" s="161"/>
      <c r="J37" s="162"/>
      <c r="K37" s="145"/>
    </row>
    <row r="38" spans="1:18" ht="28" customHeight="1" x14ac:dyDescent="0.2">
      <c r="A38" s="144" t="s">
        <v>14</v>
      </c>
      <c r="B38" s="126" t="s">
        <v>38</v>
      </c>
      <c r="C38" s="4" t="s">
        <v>15</v>
      </c>
      <c r="D38" s="6">
        <f>D16*0.75</f>
        <v>51825</v>
      </c>
      <c r="E38" s="6">
        <f t="shared" ref="E38:J38" si="29">D38</f>
        <v>51825</v>
      </c>
      <c r="F38" s="6">
        <f t="shared" si="29"/>
        <v>51825</v>
      </c>
      <c r="G38" s="6">
        <f t="shared" si="29"/>
        <v>51825</v>
      </c>
      <c r="H38" s="7">
        <f t="shared" si="29"/>
        <v>51825</v>
      </c>
      <c r="I38" s="7">
        <f t="shared" si="29"/>
        <v>51825</v>
      </c>
      <c r="J38" s="7">
        <f t="shared" si="29"/>
        <v>51825</v>
      </c>
      <c r="K38" s="145"/>
    </row>
    <row r="39" spans="1:18" x14ac:dyDescent="0.2">
      <c r="A39" s="145"/>
      <c r="B39" s="127"/>
      <c r="C39" s="19" t="s">
        <v>11</v>
      </c>
      <c r="D39" s="6">
        <v>15000</v>
      </c>
      <c r="E39" s="6">
        <v>13000</v>
      </c>
      <c r="F39" s="6">
        <v>11000</v>
      </c>
      <c r="G39" s="6">
        <v>9000</v>
      </c>
      <c r="H39" s="7">
        <v>7000</v>
      </c>
      <c r="I39" s="7">
        <v>5000</v>
      </c>
      <c r="J39" s="7">
        <v>3000</v>
      </c>
      <c r="K39" s="145"/>
    </row>
    <row r="40" spans="1:18" x14ac:dyDescent="0.2">
      <c r="A40" s="145"/>
      <c r="B40" s="127"/>
      <c r="C40" s="36" t="s">
        <v>47</v>
      </c>
      <c r="D40" s="31">
        <f>((D38-D39)*0.95)*2</f>
        <v>69967.5</v>
      </c>
      <c r="E40" s="31">
        <f t="shared" ref="E40:J40" si="30">((E38-E39)*0.95)*2</f>
        <v>73767.5</v>
      </c>
      <c r="F40" s="31">
        <f t="shared" si="30"/>
        <v>77567.5</v>
      </c>
      <c r="G40" s="31">
        <f t="shared" si="30"/>
        <v>81367.5</v>
      </c>
      <c r="H40" s="31">
        <f t="shared" si="30"/>
        <v>85167.5</v>
      </c>
      <c r="I40" s="31">
        <f t="shared" si="30"/>
        <v>88967.5</v>
      </c>
      <c r="J40" s="31">
        <f t="shared" si="30"/>
        <v>92767.5</v>
      </c>
      <c r="K40" s="145"/>
    </row>
    <row r="41" spans="1:18" x14ac:dyDescent="0.2">
      <c r="A41" s="145"/>
      <c r="B41" s="127"/>
      <c r="C41" s="41" t="s">
        <v>48</v>
      </c>
      <c r="D41" s="31">
        <f>(D38-D39)</f>
        <v>36825</v>
      </c>
      <c r="E41" s="31">
        <f t="shared" ref="E41:J41" si="31">(E38-E39)</f>
        <v>38825</v>
      </c>
      <c r="F41" s="31">
        <f t="shared" si="31"/>
        <v>40825</v>
      </c>
      <c r="G41" s="31">
        <f t="shared" si="31"/>
        <v>42825</v>
      </c>
      <c r="H41" s="31">
        <f t="shared" si="31"/>
        <v>44825</v>
      </c>
      <c r="I41" s="31">
        <f t="shared" si="31"/>
        <v>46825</v>
      </c>
      <c r="J41" s="31">
        <f t="shared" si="31"/>
        <v>48825</v>
      </c>
      <c r="K41" s="145"/>
      <c r="L41" s="24"/>
      <c r="M41" s="24"/>
      <c r="N41" s="24"/>
      <c r="O41" s="24"/>
      <c r="P41" s="24"/>
      <c r="Q41" s="24"/>
      <c r="R41" s="24"/>
    </row>
    <row r="42" spans="1:18" ht="24" customHeight="1" x14ac:dyDescent="0.2">
      <c r="A42" s="145"/>
      <c r="B42" s="126" t="s">
        <v>39</v>
      </c>
      <c r="C42" s="4" t="s">
        <v>15</v>
      </c>
      <c r="D42" s="6">
        <f>D21*0.75</f>
        <v>53175</v>
      </c>
      <c r="E42" s="6">
        <f t="shared" ref="E42:J42" si="32">D42</f>
        <v>53175</v>
      </c>
      <c r="F42" s="6">
        <f t="shared" si="32"/>
        <v>53175</v>
      </c>
      <c r="G42" s="6">
        <f t="shared" si="32"/>
        <v>53175</v>
      </c>
      <c r="H42" s="7">
        <f t="shared" si="32"/>
        <v>53175</v>
      </c>
      <c r="I42" s="7">
        <f t="shared" si="32"/>
        <v>53175</v>
      </c>
      <c r="J42" s="7">
        <f t="shared" si="32"/>
        <v>53175</v>
      </c>
      <c r="K42" s="145"/>
    </row>
    <row r="43" spans="1:18" x14ac:dyDescent="0.2">
      <c r="A43" s="145"/>
      <c r="B43" s="127"/>
      <c r="C43" s="19" t="s">
        <v>11</v>
      </c>
      <c r="D43" s="6">
        <f t="shared" ref="D43:J43" si="33">D39</f>
        <v>15000</v>
      </c>
      <c r="E43" s="6">
        <f t="shared" si="33"/>
        <v>13000</v>
      </c>
      <c r="F43" s="6">
        <f t="shared" si="33"/>
        <v>11000</v>
      </c>
      <c r="G43" s="6">
        <f t="shared" si="33"/>
        <v>9000</v>
      </c>
      <c r="H43" s="7">
        <f t="shared" si="33"/>
        <v>7000</v>
      </c>
      <c r="I43" s="7">
        <f t="shared" si="33"/>
        <v>5000</v>
      </c>
      <c r="J43" s="7">
        <f t="shared" si="33"/>
        <v>3000</v>
      </c>
      <c r="K43" s="145"/>
      <c r="L43" s="24"/>
      <c r="M43" s="24"/>
      <c r="N43" s="24"/>
      <c r="O43" s="24"/>
      <c r="P43" s="24"/>
      <c r="Q43" s="24"/>
      <c r="R43" s="24"/>
    </row>
    <row r="44" spans="1:18" x14ac:dyDescent="0.2">
      <c r="A44" s="145"/>
      <c r="B44" s="127"/>
      <c r="C44" s="37" t="s">
        <v>47</v>
      </c>
      <c r="D44" s="32">
        <f>((D42-D43)*0.95)*2</f>
        <v>72532.5</v>
      </c>
      <c r="E44" s="32">
        <f t="shared" ref="E44:J44" si="34">((E42-E43)*0.95)*2</f>
        <v>76332.5</v>
      </c>
      <c r="F44" s="32">
        <f t="shared" si="34"/>
        <v>80132.5</v>
      </c>
      <c r="G44" s="32">
        <f t="shared" si="34"/>
        <v>83932.5</v>
      </c>
      <c r="H44" s="32">
        <f t="shared" si="34"/>
        <v>87732.5</v>
      </c>
      <c r="I44" s="32">
        <f t="shared" si="34"/>
        <v>91532.5</v>
      </c>
      <c r="J44" s="32">
        <f t="shared" si="34"/>
        <v>95332.5</v>
      </c>
      <c r="K44" s="145"/>
    </row>
    <row r="45" spans="1:18" x14ac:dyDescent="0.2">
      <c r="A45" s="145"/>
      <c r="B45" s="127"/>
      <c r="C45" s="39" t="s">
        <v>48</v>
      </c>
      <c r="D45" s="32">
        <f>(D42-D43)</f>
        <v>38175</v>
      </c>
      <c r="E45" s="32">
        <f t="shared" ref="E45:J45" si="35">(E42-E43)</f>
        <v>40175</v>
      </c>
      <c r="F45" s="32">
        <f t="shared" si="35"/>
        <v>42175</v>
      </c>
      <c r="G45" s="32">
        <f t="shared" si="35"/>
        <v>44175</v>
      </c>
      <c r="H45" s="32">
        <f t="shared" si="35"/>
        <v>46175</v>
      </c>
      <c r="I45" s="32">
        <f t="shared" si="35"/>
        <v>48175</v>
      </c>
      <c r="J45" s="32">
        <f t="shared" si="35"/>
        <v>50175</v>
      </c>
      <c r="K45" s="145"/>
    </row>
    <row r="46" spans="1:18" x14ac:dyDescent="0.2">
      <c r="A46" s="145"/>
      <c r="B46" s="126" t="s">
        <v>40</v>
      </c>
      <c r="C46" s="4" t="s">
        <v>15</v>
      </c>
      <c r="D46" s="6">
        <f>D42*1.05</f>
        <v>55833.75</v>
      </c>
      <c r="E46" s="6">
        <f t="shared" ref="E46:J46" si="36">D46</f>
        <v>55833.75</v>
      </c>
      <c r="F46" s="6">
        <f t="shared" si="36"/>
        <v>55833.75</v>
      </c>
      <c r="G46" s="6">
        <f t="shared" si="36"/>
        <v>55833.75</v>
      </c>
      <c r="H46" s="7">
        <f t="shared" si="36"/>
        <v>55833.75</v>
      </c>
      <c r="I46" s="7">
        <f t="shared" si="36"/>
        <v>55833.75</v>
      </c>
      <c r="J46" s="7">
        <f t="shared" si="36"/>
        <v>55833.75</v>
      </c>
      <c r="K46" s="145"/>
    </row>
    <row r="47" spans="1:18" x14ac:dyDescent="0.2">
      <c r="A47" s="145"/>
      <c r="B47" s="127"/>
      <c r="C47" s="19" t="s">
        <v>11</v>
      </c>
      <c r="D47" s="6">
        <f t="shared" ref="D47:J47" si="37">D43</f>
        <v>15000</v>
      </c>
      <c r="E47" s="6">
        <f t="shared" si="37"/>
        <v>13000</v>
      </c>
      <c r="F47" s="6">
        <f t="shared" si="37"/>
        <v>11000</v>
      </c>
      <c r="G47" s="6">
        <f t="shared" si="37"/>
        <v>9000</v>
      </c>
      <c r="H47" s="7">
        <f t="shared" si="37"/>
        <v>7000</v>
      </c>
      <c r="I47" s="7">
        <f t="shared" si="37"/>
        <v>5000</v>
      </c>
      <c r="J47" s="7">
        <f t="shared" si="37"/>
        <v>3000</v>
      </c>
      <c r="K47" s="145"/>
    </row>
    <row r="48" spans="1:18" x14ac:dyDescent="0.2">
      <c r="A48" s="145"/>
      <c r="B48" s="127"/>
      <c r="C48" s="38" t="s">
        <v>47</v>
      </c>
      <c r="D48" s="33">
        <f>((D46-D47)*0.95)*2</f>
        <v>77584.125</v>
      </c>
      <c r="E48" s="33">
        <f t="shared" ref="E48:J48" si="38">((E46-E47)*0.95)*2</f>
        <v>81384.125</v>
      </c>
      <c r="F48" s="33">
        <f t="shared" si="38"/>
        <v>85184.125</v>
      </c>
      <c r="G48" s="33">
        <f t="shared" si="38"/>
        <v>88984.125</v>
      </c>
      <c r="H48" s="33">
        <f t="shared" si="38"/>
        <v>92784.125</v>
      </c>
      <c r="I48" s="33">
        <f t="shared" si="38"/>
        <v>96584.125</v>
      </c>
      <c r="J48" s="33">
        <f t="shared" si="38"/>
        <v>100384.125</v>
      </c>
      <c r="K48" s="145"/>
    </row>
    <row r="49" spans="1:11" x14ac:dyDescent="0.2">
      <c r="A49" s="145"/>
      <c r="B49" s="127"/>
      <c r="C49" s="40" t="s">
        <v>48</v>
      </c>
      <c r="D49" s="33">
        <f>(D46-D47)</f>
        <v>40833.75</v>
      </c>
      <c r="E49" s="33">
        <f t="shared" ref="E49:J49" si="39">(E46-E47)</f>
        <v>42833.75</v>
      </c>
      <c r="F49" s="33">
        <f t="shared" si="39"/>
        <v>44833.75</v>
      </c>
      <c r="G49" s="33">
        <f t="shared" si="39"/>
        <v>46833.75</v>
      </c>
      <c r="H49" s="33">
        <f t="shared" si="39"/>
        <v>48833.75</v>
      </c>
      <c r="I49" s="33">
        <f t="shared" si="39"/>
        <v>50833.75</v>
      </c>
      <c r="J49" s="33">
        <f t="shared" si="39"/>
        <v>52833.75</v>
      </c>
      <c r="K49" s="145"/>
    </row>
    <row r="50" spans="1:11" x14ac:dyDescent="0.2">
      <c r="A50" s="145"/>
      <c r="B50" s="126" t="s">
        <v>41</v>
      </c>
      <c r="C50" s="4" t="s">
        <v>15</v>
      </c>
      <c r="D50" s="6">
        <f>D46*1.05</f>
        <v>58625.4375</v>
      </c>
      <c r="E50" s="6">
        <f t="shared" ref="E50" si="40">D50</f>
        <v>58625.4375</v>
      </c>
      <c r="F50" s="6">
        <f t="shared" ref="F50" si="41">E50</f>
        <v>58625.4375</v>
      </c>
      <c r="G50" s="6">
        <f t="shared" ref="G50" si="42">F50</f>
        <v>58625.4375</v>
      </c>
      <c r="H50" s="7">
        <f t="shared" ref="H50" si="43">G50</f>
        <v>58625.4375</v>
      </c>
      <c r="I50" s="7">
        <f t="shared" ref="I50" si="44">H50</f>
        <v>58625.4375</v>
      </c>
      <c r="J50" s="7">
        <f t="shared" ref="J50" si="45">I50</f>
        <v>58625.4375</v>
      </c>
      <c r="K50" s="145"/>
    </row>
    <row r="51" spans="1:11" x14ac:dyDescent="0.2">
      <c r="A51" s="145"/>
      <c r="B51" s="127"/>
      <c r="C51" s="19" t="s">
        <v>11</v>
      </c>
      <c r="D51" s="6">
        <f t="shared" ref="D51:J51" si="46">D47</f>
        <v>15000</v>
      </c>
      <c r="E51" s="6">
        <f t="shared" si="46"/>
        <v>13000</v>
      </c>
      <c r="F51" s="6">
        <f t="shared" si="46"/>
        <v>11000</v>
      </c>
      <c r="G51" s="6">
        <f t="shared" si="46"/>
        <v>9000</v>
      </c>
      <c r="H51" s="7">
        <f t="shared" si="46"/>
        <v>7000</v>
      </c>
      <c r="I51" s="7">
        <f t="shared" si="46"/>
        <v>5000</v>
      </c>
      <c r="J51" s="7">
        <f t="shared" si="46"/>
        <v>3000</v>
      </c>
      <c r="K51" s="145"/>
    </row>
    <row r="52" spans="1:11" x14ac:dyDescent="0.2">
      <c r="A52" s="145"/>
      <c r="B52" s="127"/>
      <c r="C52" s="38" t="s">
        <v>47</v>
      </c>
      <c r="D52" s="33">
        <f>((D50-D51)*0.95)*2</f>
        <v>82888.331250000003</v>
      </c>
      <c r="E52" s="33">
        <f t="shared" ref="E52:J52" si="47">((E50-E51)*0.95)*2</f>
        <v>86688.331250000003</v>
      </c>
      <c r="F52" s="33">
        <f t="shared" si="47"/>
        <v>90488.331250000003</v>
      </c>
      <c r="G52" s="33">
        <f t="shared" si="47"/>
        <v>94288.331249999988</v>
      </c>
      <c r="H52" s="33">
        <f t="shared" si="47"/>
        <v>98088.331249999988</v>
      </c>
      <c r="I52" s="33">
        <f t="shared" si="47"/>
        <v>101888.33124999999</v>
      </c>
      <c r="J52" s="33">
        <f t="shared" si="47"/>
        <v>105688.33124999999</v>
      </c>
      <c r="K52" s="145"/>
    </row>
    <row r="53" spans="1:11" x14ac:dyDescent="0.2">
      <c r="A53" s="145"/>
      <c r="B53" s="127"/>
      <c r="C53" s="40" t="s">
        <v>48</v>
      </c>
      <c r="D53" s="33">
        <f>(D50-D51)</f>
        <v>43625.4375</v>
      </c>
      <c r="E53" s="33">
        <f t="shared" ref="E53:J53" si="48">(E50-E51)</f>
        <v>45625.4375</v>
      </c>
      <c r="F53" s="33">
        <f t="shared" si="48"/>
        <v>47625.4375</v>
      </c>
      <c r="G53" s="33">
        <f t="shared" si="48"/>
        <v>49625.4375</v>
      </c>
      <c r="H53" s="33">
        <f t="shared" si="48"/>
        <v>51625.4375</v>
      </c>
      <c r="I53" s="33">
        <f t="shared" si="48"/>
        <v>53625.4375</v>
      </c>
      <c r="J53" s="33">
        <f t="shared" si="48"/>
        <v>55625.4375</v>
      </c>
      <c r="K53" s="145"/>
    </row>
    <row r="54" spans="1:11" x14ac:dyDescent="0.2">
      <c r="A54" s="146"/>
      <c r="B54" s="128" t="s">
        <v>13</v>
      </c>
      <c r="C54" s="128"/>
      <c r="D54" s="33">
        <f>SUM(D40,D44,D48,D52)</f>
        <v>302972.45624999999</v>
      </c>
      <c r="E54" s="33">
        <f t="shared" ref="E54:J54" si="49">SUM(E40,E44,E48,E52)</f>
        <v>318172.45624999999</v>
      </c>
      <c r="F54" s="33">
        <f t="shared" si="49"/>
        <v>333372.45624999999</v>
      </c>
      <c r="G54" s="33">
        <f t="shared" si="49"/>
        <v>348572.45624999999</v>
      </c>
      <c r="H54" s="33">
        <f t="shared" si="49"/>
        <v>363772.45624999999</v>
      </c>
      <c r="I54" s="33">
        <f t="shared" si="49"/>
        <v>378972.45624999999</v>
      </c>
      <c r="J54" s="33">
        <f t="shared" si="49"/>
        <v>394172.45624999999</v>
      </c>
      <c r="K54" s="146"/>
    </row>
    <row r="55" spans="1:11" ht="16" customHeight="1" x14ac:dyDescent="0.2">
      <c r="A55" s="134" t="s">
        <v>16</v>
      </c>
      <c r="B55" s="134"/>
      <c r="C55" s="134"/>
      <c r="D55" s="134"/>
      <c r="E55" s="134"/>
      <c r="F55" s="134"/>
      <c r="G55" s="134"/>
      <c r="H55" s="134"/>
      <c r="I55" s="134"/>
      <c r="J55" s="134"/>
      <c r="K55" s="134"/>
    </row>
    <row r="56" spans="1:11" ht="4" customHeight="1" x14ac:dyDescent="0.2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4"/>
    </row>
    <row r="57" spans="1:11" ht="2" customHeight="1" x14ac:dyDescent="0.2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4"/>
    </row>
    <row r="58" spans="1:11" x14ac:dyDescent="0.2">
      <c r="A58" s="22" t="s">
        <v>17</v>
      </c>
      <c r="B58" s="23"/>
      <c r="C58" s="139" t="s">
        <v>18</v>
      </c>
      <c r="D58" s="139"/>
      <c r="E58" s="8">
        <v>5000</v>
      </c>
      <c r="F58" s="9"/>
      <c r="G58" s="10"/>
    </row>
    <row r="59" spans="1:11" x14ac:dyDescent="0.2">
      <c r="A59" s="22"/>
      <c r="B59" s="23"/>
      <c r="C59" s="116" t="s">
        <v>19</v>
      </c>
      <c r="D59" s="116"/>
      <c r="E59" s="11">
        <v>3000</v>
      </c>
      <c r="F59" s="9"/>
      <c r="G59" s="10"/>
    </row>
    <row r="60" spans="1:11" ht="17" thickBot="1" x14ac:dyDescent="0.25">
      <c r="A60" s="42"/>
      <c r="B60" s="43"/>
      <c r="C60" s="118" t="s">
        <v>20</v>
      </c>
      <c r="D60" s="118"/>
      <c r="E60" s="11">
        <v>3000</v>
      </c>
      <c r="F60" s="12"/>
      <c r="G60" s="13"/>
    </row>
    <row r="61" spans="1:11" ht="25" thickBot="1" x14ac:dyDescent="0.25">
      <c r="A61" s="14" t="s">
        <v>21</v>
      </c>
      <c r="B61" s="15" t="s">
        <v>22</v>
      </c>
      <c r="C61" s="16" t="s">
        <v>23</v>
      </c>
      <c r="D61" s="16" t="s">
        <v>24</v>
      </c>
      <c r="E61" s="16" t="s">
        <v>25</v>
      </c>
      <c r="F61" s="17" t="s">
        <v>26</v>
      </c>
      <c r="G61" s="15" t="s">
        <v>27</v>
      </c>
      <c r="H61" s="15" t="s">
        <v>28</v>
      </c>
      <c r="I61" s="15" t="s">
        <v>29</v>
      </c>
    </row>
    <row r="62" spans="1:11" ht="17" thickBot="1" x14ac:dyDescent="0.25">
      <c r="A62" s="21" t="s">
        <v>30</v>
      </c>
      <c r="B62" s="18">
        <f>B63*2</f>
        <v>7000</v>
      </c>
      <c r="C62" s="18">
        <f t="shared" ref="C62:H62" si="50">C63*2</f>
        <v>5000</v>
      </c>
      <c r="D62" s="18">
        <v>1000</v>
      </c>
      <c r="E62" s="18">
        <f t="shared" si="50"/>
        <v>1500</v>
      </c>
      <c r="F62" s="18">
        <f t="shared" si="50"/>
        <v>1000</v>
      </c>
      <c r="G62" s="18">
        <f t="shared" si="50"/>
        <v>1000</v>
      </c>
      <c r="H62" s="18">
        <f t="shared" si="50"/>
        <v>2000</v>
      </c>
      <c r="I62" s="18">
        <f>SUM(B62:H62)</f>
        <v>18500</v>
      </c>
    </row>
    <row r="63" spans="1:11" x14ac:dyDescent="0.2">
      <c r="A63" s="52" t="s">
        <v>31</v>
      </c>
      <c r="B63" s="53">
        <v>3500</v>
      </c>
      <c r="C63" s="53">
        <v>2500</v>
      </c>
      <c r="D63" s="64">
        <v>1000</v>
      </c>
      <c r="E63" s="64">
        <v>750</v>
      </c>
      <c r="F63" s="64">
        <v>500</v>
      </c>
      <c r="G63" s="53">
        <v>500</v>
      </c>
      <c r="H63" s="53">
        <v>1000</v>
      </c>
      <c r="I63" s="53">
        <f>SUM(B63:H63)</f>
        <v>9750</v>
      </c>
    </row>
    <row r="64" spans="1:11" ht="16" customHeight="1" x14ac:dyDescent="0.2">
      <c r="A64" s="140" t="s">
        <v>45</v>
      </c>
      <c r="B64" s="140"/>
      <c r="C64" s="140"/>
      <c r="D64" s="140"/>
      <c r="E64" s="140"/>
      <c r="F64" s="140"/>
      <c r="G64" s="140"/>
      <c r="H64" s="140"/>
      <c r="I64" s="140"/>
    </row>
    <row r="65" spans="1:9" ht="24" customHeight="1" x14ac:dyDescent="0.2">
      <c r="A65" s="140" t="s">
        <v>46</v>
      </c>
      <c r="B65" s="140"/>
      <c r="C65" s="140"/>
      <c r="D65" s="140"/>
      <c r="E65" s="140"/>
      <c r="F65" s="140"/>
      <c r="G65" s="140"/>
      <c r="H65" s="140"/>
      <c r="I65" s="140"/>
    </row>
    <row r="66" spans="1:9" ht="41" customHeight="1" x14ac:dyDescent="0.2">
      <c r="A66" s="141" t="s">
        <v>43</v>
      </c>
      <c r="B66" s="141"/>
      <c r="C66" s="141"/>
      <c r="D66" s="141"/>
      <c r="E66" s="141"/>
      <c r="F66" s="141"/>
      <c r="G66" s="141"/>
      <c r="H66" s="141"/>
      <c r="I66" s="141"/>
    </row>
    <row r="67" spans="1:9" x14ac:dyDescent="0.2">
      <c r="A67" s="140" t="s">
        <v>32</v>
      </c>
      <c r="B67" s="140"/>
      <c r="C67" s="140"/>
      <c r="D67" s="140"/>
      <c r="E67" s="140"/>
      <c r="F67" s="140"/>
      <c r="G67" s="140"/>
      <c r="H67" s="140"/>
      <c r="I67" s="140"/>
    </row>
    <row r="68" spans="1:9" x14ac:dyDescent="0.2">
      <c r="A68" s="129" t="s">
        <v>95</v>
      </c>
      <c r="B68" s="130"/>
      <c r="C68" s="130"/>
      <c r="D68" s="130"/>
      <c r="E68" s="130"/>
      <c r="F68" s="130"/>
      <c r="G68" s="130"/>
      <c r="H68" s="130"/>
      <c r="I68" s="131"/>
    </row>
  </sheetData>
  <mergeCells count="25">
    <mergeCell ref="A66:I66"/>
    <mergeCell ref="A67:I67"/>
    <mergeCell ref="A68:I68"/>
    <mergeCell ref="B31:B35"/>
    <mergeCell ref="B50:B53"/>
    <mergeCell ref="A15:A36"/>
    <mergeCell ref="A38:A54"/>
    <mergeCell ref="C59:D59"/>
    <mergeCell ref="C60:D60"/>
    <mergeCell ref="A64:I64"/>
    <mergeCell ref="A65:I65"/>
    <mergeCell ref="B38:B41"/>
    <mergeCell ref="B42:B45"/>
    <mergeCell ref="B46:B49"/>
    <mergeCell ref="B54:C54"/>
    <mergeCell ref="A55:K57"/>
    <mergeCell ref="C58:D58"/>
    <mergeCell ref="K15:K54"/>
    <mergeCell ref="A1:K10"/>
    <mergeCell ref="A11:K14"/>
    <mergeCell ref="B16:B20"/>
    <mergeCell ref="B21:B25"/>
    <mergeCell ref="B26:B30"/>
    <mergeCell ref="B36:C36"/>
    <mergeCell ref="A37:J37"/>
  </mergeCells>
  <pageMargins left="0.7" right="0.7" top="0.75" bottom="0.75" header="0.3" footer="0.3"/>
  <pageSetup paperSize="9" scale="3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CD95A-4C27-A540-9BAF-3E0274D8DB98}">
  <sheetPr>
    <pageSetUpPr fitToPage="1"/>
  </sheetPr>
  <dimension ref="A1:R59"/>
  <sheetViews>
    <sheetView zoomScale="137" workbookViewId="0">
      <selection activeCell="A60" sqref="A60"/>
    </sheetView>
  </sheetViews>
  <sheetFormatPr baseColWidth="10" defaultColWidth="8.83203125" defaultRowHeight="16" x14ac:dyDescent="0.2"/>
  <cols>
    <col min="1" max="1" width="17.33203125" customWidth="1"/>
    <col min="2" max="2" width="23" bestFit="1" customWidth="1"/>
    <col min="3" max="3" width="41.1640625" bestFit="1" customWidth="1"/>
    <col min="4" max="4" width="16.83203125" customWidth="1"/>
    <col min="5" max="5" width="15.1640625" customWidth="1"/>
    <col min="6" max="6" width="14.83203125" customWidth="1"/>
    <col min="7" max="7" width="18.1640625" customWidth="1"/>
    <col min="8" max="11" width="16.6640625" customWidth="1"/>
  </cols>
  <sheetData>
    <row r="1" spans="1:11" x14ac:dyDescent="0.2">
      <c r="A1" s="119"/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x14ac:dyDescent="0.2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</row>
    <row r="3" spans="1:11" x14ac:dyDescent="0.2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</row>
    <row r="4" spans="1:11" x14ac:dyDescent="0.2">
      <c r="A4" s="119"/>
      <c r="B4" s="119"/>
      <c r="C4" s="119"/>
      <c r="D4" s="119"/>
      <c r="E4" s="119"/>
      <c r="F4" s="119"/>
      <c r="G4" s="119"/>
      <c r="H4" s="119"/>
      <c r="I4" s="119"/>
      <c r="J4" s="119"/>
      <c r="K4" s="119"/>
    </row>
    <row r="5" spans="1:11" x14ac:dyDescent="0.2">
      <c r="A5" s="119"/>
      <c r="B5" s="119"/>
      <c r="C5" s="119"/>
      <c r="D5" s="119"/>
      <c r="E5" s="119"/>
      <c r="F5" s="119"/>
      <c r="G5" s="119"/>
      <c r="H5" s="119"/>
      <c r="I5" s="119"/>
      <c r="J5" s="119"/>
      <c r="K5" s="119"/>
    </row>
    <row r="6" spans="1:11" x14ac:dyDescent="0.2">
      <c r="A6" s="119"/>
      <c r="B6" s="119"/>
      <c r="C6" s="119"/>
      <c r="D6" s="119"/>
      <c r="E6" s="119"/>
      <c r="F6" s="119"/>
      <c r="G6" s="119"/>
      <c r="H6" s="119"/>
      <c r="I6" s="119"/>
      <c r="J6" s="119"/>
      <c r="K6" s="119"/>
    </row>
    <row r="7" spans="1:11" x14ac:dyDescent="0.2">
      <c r="A7" s="119"/>
      <c r="B7" s="119"/>
      <c r="C7" s="119"/>
      <c r="D7" s="119"/>
      <c r="E7" s="119"/>
      <c r="F7" s="119"/>
      <c r="G7" s="119"/>
      <c r="H7" s="119"/>
      <c r="I7" s="119"/>
      <c r="J7" s="119"/>
      <c r="K7" s="119"/>
    </row>
    <row r="8" spans="1:11" x14ac:dyDescent="0.2">
      <c r="A8" s="119"/>
      <c r="B8" s="119"/>
      <c r="C8" s="119"/>
      <c r="D8" s="119"/>
      <c r="E8" s="119"/>
      <c r="F8" s="119"/>
      <c r="G8" s="119"/>
      <c r="H8" s="119"/>
      <c r="I8" s="119"/>
      <c r="J8" s="119"/>
      <c r="K8" s="119"/>
    </row>
    <row r="9" spans="1:11" x14ac:dyDescent="0.2">
      <c r="A9" s="119"/>
      <c r="B9" s="119"/>
      <c r="C9" s="119"/>
      <c r="D9" s="119"/>
      <c r="E9" s="119"/>
      <c r="F9" s="119"/>
      <c r="G9" s="119"/>
      <c r="H9" s="119"/>
      <c r="I9" s="119"/>
      <c r="J9" s="119"/>
      <c r="K9" s="119"/>
    </row>
    <row r="10" spans="1:11" x14ac:dyDescent="0.2">
      <c r="A10" s="119"/>
      <c r="B10" s="119"/>
      <c r="C10" s="119"/>
      <c r="D10" s="119"/>
      <c r="E10" s="119"/>
      <c r="F10" s="119"/>
      <c r="G10" s="119"/>
      <c r="H10" s="119"/>
      <c r="I10" s="119"/>
      <c r="J10" s="119"/>
      <c r="K10" s="119"/>
    </row>
    <row r="11" spans="1:11" ht="14.5" customHeight="1" x14ac:dyDescent="0.2">
      <c r="A11" s="151" t="s">
        <v>84</v>
      </c>
      <c r="B11" s="152"/>
      <c r="C11" s="152"/>
      <c r="D11" s="152"/>
      <c r="E11" s="152"/>
      <c r="F11" s="152"/>
      <c r="G11" s="152"/>
      <c r="H11" s="152"/>
      <c r="I11" s="152"/>
      <c r="J11" s="152"/>
      <c r="K11" s="152"/>
    </row>
    <row r="12" spans="1:11" ht="14.5" customHeight="1" x14ac:dyDescent="0.2">
      <c r="A12" s="154"/>
      <c r="B12" s="155"/>
      <c r="C12" s="155"/>
      <c r="D12" s="155"/>
      <c r="E12" s="155"/>
      <c r="F12" s="155"/>
      <c r="G12" s="155"/>
      <c r="H12" s="155"/>
      <c r="I12" s="155"/>
      <c r="J12" s="155"/>
      <c r="K12" s="155"/>
    </row>
    <row r="13" spans="1:11" ht="14.5" customHeight="1" x14ac:dyDescent="0.2">
      <c r="A13" s="154"/>
      <c r="B13" s="155"/>
      <c r="C13" s="155"/>
      <c r="D13" s="155"/>
      <c r="E13" s="155"/>
      <c r="F13" s="155"/>
      <c r="G13" s="155"/>
      <c r="H13" s="155"/>
      <c r="I13" s="155"/>
      <c r="J13" s="155"/>
      <c r="K13" s="155"/>
    </row>
    <row r="14" spans="1:11" ht="66.5" customHeight="1" x14ac:dyDescent="0.2">
      <c r="A14" s="157"/>
      <c r="B14" s="158"/>
      <c r="C14" s="158"/>
      <c r="D14" s="158"/>
      <c r="E14" s="158"/>
      <c r="F14" s="158"/>
      <c r="G14" s="158"/>
      <c r="H14" s="158"/>
      <c r="I14" s="158"/>
      <c r="J14" s="158"/>
      <c r="K14" s="158"/>
    </row>
    <row r="15" spans="1:11" ht="85.25" customHeight="1" x14ac:dyDescent="0.2">
      <c r="A15" s="163" t="s">
        <v>0</v>
      </c>
      <c r="B15" s="62" t="s">
        <v>1</v>
      </c>
      <c r="C15" s="63" t="s">
        <v>2</v>
      </c>
      <c r="D15" s="62" t="s">
        <v>64</v>
      </c>
      <c r="E15" s="62" t="s">
        <v>65</v>
      </c>
      <c r="F15" s="62" t="s">
        <v>66</v>
      </c>
      <c r="G15" s="62" t="s">
        <v>67</v>
      </c>
      <c r="H15" s="62" t="s">
        <v>68</v>
      </c>
      <c r="I15" s="62" t="s">
        <v>69</v>
      </c>
      <c r="J15" s="62" t="s">
        <v>70</v>
      </c>
      <c r="K15" s="163" t="s">
        <v>9</v>
      </c>
    </row>
    <row r="16" spans="1:11" x14ac:dyDescent="0.2">
      <c r="A16" s="163"/>
      <c r="B16" s="126" t="s">
        <v>38</v>
      </c>
      <c r="C16" s="34" t="s">
        <v>10</v>
      </c>
      <c r="D16" s="6">
        <v>69100</v>
      </c>
      <c r="E16" s="6">
        <f>D16</f>
        <v>69100</v>
      </c>
      <c r="F16" s="6">
        <f t="shared" ref="F16:J16" si="0">E16</f>
        <v>69100</v>
      </c>
      <c r="G16" s="7">
        <f t="shared" si="0"/>
        <v>69100</v>
      </c>
      <c r="H16" s="7">
        <f t="shared" si="0"/>
        <v>69100</v>
      </c>
      <c r="I16" s="7">
        <f t="shared" si="0"/>
        <v>69100</v>
      </c>
      <c r="J16" s="7">
        <f t="shared" si="0"/>
        <v>69100</v>
      </c>
      <c r="K16" s="163"/>
    </row>
    <row r="17" spans="1:18" x14ac:dyDescent="0.2">
      <c r="A17" s="163"/>
      <c r="B17" s="127"/>
      <c r="C17" s="34" t="s">
        <v>11</v>
      </c>
      <c r="D17" s="6">
        <v>15000</v>
      </c>
      <c r="E17" s="6">
        <v>13000</v>
      </c>
      <c r="F17" s="6">
        <v>11000</v>
      </c>
      <c r="G17" s="6">
        <v>9000</v>
      </c>
      <c r="H17" s="7">
        <v>7000</v>
      </c>
      <c r="I17" s="7">
        <v>5000</v>
      </c>
      <c r="J17" s="7">
        <v>3000</v>
      </c>
      <c r="K17" s="163"/>
    </row>
    <row r="18" spans="1:18" x14ac:dyDescent="0.2">
      <c r="A18" s="163"/>
      <c r="B18" s="127"/>
      <c r="C18" s="36" t="s">
        <v>44</v>
      </c>
      <c r="D18" s="31">
        <v>14000</v>
      </c>
      <c r="E18" s="31">
        <f>D18</f>
        <v>14000</v>
      </c>
      <c r="F18" s="31">
        <f t="shared" ref="F18:J18" si="1">E18</f>
        <v>14000</v>
      </c>
      <c r="G18" s="31">
        <f t="shared" si="1"/>
        <v>14000</v>
      </c>
      <c r="H18" s="31">
        <f t="shared" si="1"/>
        <v>14000</v>
      </c>
      <c r="I18" s="31">
        <f t="shared" si="1"/>
        <v>14000</v>
      </c>
      <c r="J18" s="31">
        <f t="shared" si="1"/>
        <v>14000</v>
      </c>
      <c r="K18" s="163"/>
    </row>
    <row r="19" spans="1:18" x14ac:dyDescent="0.2">
      <c r="A19" s="163"/>
      <c r="B19" s="127"/>
      <c r="C19" s="36" t="s">
        <v>47</v>
      </c>
      <c r="D19" s="31">
        <f>(((D16-D17)*0.95)*2)-D18*2</f>
        <v>74790</v>
      </c>
      <c r="E19" s="31">
        <f t="shared" ref="E19:J19" si="2">(((E16-E17)*0.95)*2)-E18*2</f>
        <v>78590</v>
      </c>
      <c r="F19" s="31">
        <f t="shared" si="2"/>
        <v>82390</v>
      </c>
      <c r="G19" s="31">
        <f t="shared" si="2"/>
        <v>86190</v>
      </c>
      <c r="H19" s="31">
        <f t="shared" si="2"/>
        <v>89990</v>
      </c>
      <c r="I19" s="31">
        <f t="shared" si="2"/>
        <v>93790</v>
      </c>
      <c r="J19" s="31">
        <f t="shared" si="2"/>
        <v>97590</v>
      </c>
      <c r="K19" s="163"/>
      <c r="L19" s="24"/>
    </row>
    <row r="20" spans="1:18" x14ac:dyDescent="0.2">
      <c r="A20" s="163"/>
      <c r="B20" s="127"/>
      <c r="C20" s="36" t="s">
        <v>48</v>
      </c>
      <c r="D20" s="31">
        <f>(D16-D17)-D18</f>
        <v>40100</v>
      </c>
      <c r="E20" s="31">
        <f t="shared" ref="E20:J20" si="3">(E16-E17)-E18</f>
        <v>42100</v>
      </c>
      <c r="F20" s="31">
        <f t="shared" si="3"/>
        <v>44100</v>
      </c>
      <c r="G20" s="31">
        <f t="shared" si="3"/>
        <v>46100</v>
      </c>
      <c r="H20" s="31">
        <f t="shared" si="3"/>
        <v>48100</v>
      </c>
      <c r="I20" s="31">
        <f t="shared" si="3"/>
        <v>50100</v>
      </c>
      <c r="J20" s="31">
        <f t="shared" si="3"/>
        <v>52100</v>
      </c>
      <c r="K20" s="163"/>
      <c r="L20" s="24"/>
      <c r="M20" s="24"/>
      <c r="N20" s="24"/>
      <c r="O20" s="24"/>
      <c r="P20" s="24"/>
      <c r="Q20" s="24"/>
      <c r="R20" s="24"/>
    </row>
    <row r="21" spans="1:18" ht="16" customHeight="1" x14ac:dyDescent="0.2">
      <c r="A21" s="163"/>
      <c r="B21" s="126" t="s">
        <v>39</v>
      </c>
      <c r="C21" s="34" t="s">
        <v>12</v>
      </c>
      <c r="D21" s="6">
        <v>70900</v>
      </c>
      <c r="E21" s="6">
        <f t="shared" ref="E21:J21" si="4">D21</f>
        <v>70900</v>
      </c>
      <c r="F21" s="6">
        <f t="shared" si="4"/>
        <v>70900</v>
      </c>
      <c r="G21" s="7">
        <f t="shared" si="4"/>
        <v>70900</v>
      </c>
      <c r="H21" s="7">
        <f t="shared" si="4"/>
        <v>70900</v>
      </c>
      <c r="I21" s="7">
        <f t="shared" si="4"/>
        <v>70900</v>
      </c>
      <c r="J21" s="7">
        <f t="shared" si="4"/>
        <v>70900</v>
      </c>
      <c r="K21" s="163"/>
    </row>
    <row r="22" spans="1:18" x14ac:dyDescent="0.2">
      <c r="A22" s="163"/>
      <c r="B22" s="127"/>
      <c r="C22" s="34" t="s">
        <v>11</v>
      </c>
      <c r="D22" s="6">
        <f t="shared" ref="D22:J22" si="5">D17</f>
        <v>15000</v>
      </c>
      <c r="E22" s="6">
        <f t="shared" si="5"/>
        <v>13000</v>
      </c>
      <c r="F22" s="6">
        <f t="shared" si="5"/>
        <v>11000</v>
      </c>
      <c r="G22" s="7">
        <f t="shared" si="5"/>
        <v>9000</v>
      </c>
      <c r="H22" s="7">
        <f t="shared" si="5"/>
        <v>7000</v>
      </c>
      <c r="I22" s="7">
        <f t="shared" si="5"/>
        <v>5000</v>
      </c>
      <c r="J22" s="7">
        <f t="shared" si="5"/>
        <v>3000</v>
      </c>
      <c r="K22" s="163"/>
    </row>
    <row r="23" spans="1:18" x14ac:dyDescent="0.2">
      <c r="A23" s="163"/>
      <c r="B23" s="127"/>
      <c r="C23" s="37" t="s">
        <v>44</v>
      </c>
      <c r="D23" s="32">
        <f>D18</f>
        <v>14000</v>
      </c>
      <c r="E23" s="32">
        <f>D23</f>
        <v>14000</v>
      </c>
      <c r="F23" s="32">
        <f t="shared" ref="F23:J23" si="6">E23</f>
        <v>14000</v>
      </c>
      <c r="G23" s="32">
        <f t="shared" si="6"/>
        <v>14000</v>
      </c>
      <c r="H23" s="32">
        <f t="shared" si="6"/>
        <v>14000</v>
      </c>
      <c r="I23" s="32">
        <f t="shared" si="6"/>
        <v>14000</v>
      </c>
      <c r="J23" s="32">
        <f t="shared" si="6"/>
        <v>14000</v>
      </c>
      <c r="K23" s="163"/>
    </row>
    <row r="24" spans="1:18" x14ac:dyDescent="0.2">
      <c r="A24" s="163"/>
      <c r="B24" s="127"/>
      <c r="C24" s="37" t="s">
        <v>47</v>
      </c>
      <c r="D24" s="32">
        <f>(((D21-D22)*0.95)*2)-D23*2</f>
        <v>78210</v>
      </c>
      <c r="E24" s="32">
        <f t="shared" ref="E24:J24" si="7">(((E21-E22)*0.95)*2)-E23*2</f>
        <v>82010</v>
      </c>
      <c r="F24" s="32">
        <f t="shared" si="7"/>
        <v>85810</v>
      </c>
      <c r="G24" s="32">
        <f t="shared" si="7"/>
        <v>89610</v>
      </c>
      <c r="H24" s="32">
        <f t="shared" si="7"/>
        <v>93410</v>
      </c>
      <c r="I24" s="32">
        <f t="shared" si="7"/>
        <v>97210</v>
      </c>
      <c r="J24" s="32">
        <f t="shared" si="7"/>
        <v>101010</v>
      </c>
      <c r="K24" s="163"/>
    </row>
    <row r="25" spans="1:18" x14ac:dyDescent="0.2">
      <c r="A25" s="163"/>
      <c r="B25" s="127"/>
      <c r="C25" s="37" t="s">
        <v>48</v>
      </c>
      <c r="D25" s="32">
        <f>(D21-D22)-D23</f>
        <v>41900</v>
      </c>
      <c r="E25" s="32">
        <f t="shared" ref="E25:J25" si="8">(E21-E22)-E23</f>
        <v>43900</v>
      </c>
      <c r="F25" s="32">
        <f t="shared" si="8"/>
        <v>45900</v>
      </c>
      <c r="G25" s="32">
        <f t="shared" si="8"/>
        <v>47900</v>
      </c>
      <c r="H25" s="32">
        <f t="shared" si="8"/>
        <v>49900</v>
      </c>
      <c r="I25" s="32">
        <f t="shared" si="8"/>
        <v>51900</v>
      </c>
      <c r="J25" s="32">
        <f t="shared" si="8"/>
        <v>53900</v>
      </c>
      <c r="K25" s="163"/>
    </row>
    <row r="26" spans="1:18" x14ac:dyDescent="0.2">
      <c r="A26" s="163"/>
      <c r="B26" s="126" t="s">
        <v>40</v>
      </c>
      <c r="C26" s="34" t="s">
        <v>12</v>
      </c>
      <c r="D26" s="6">
        <f>D21*1.05</f>
        <v>74445</v>
      </c>
      <c r="E26" s="6">
        <f t="shared" ref="E26:J26" si="9">D26</f>
        <v>74445</v>
      </c>
      <c r="F26" s="6">
        <f t="shared" si="9"/>
        <v>74445</v>
      </c>
      <c r="G26" s="7">
        <f t="shared" si="9"/>
        <v>74445</v>
      </c>
      <c r="H26" s="7">
        <f t="shared" si="9"/>
        <v>74445</v>
      </c>
      <c r="I26" s="7">
        <f t="shared" si="9"/>
        <v>74445</v>
      </c>
      <c r="J26" s="7">
        <f t="shared" si="9"/>
        <v>74445</v>
      </c>
      <c r="K26" s="163"/>
    </row>
    <row r="27" spans="1:18" x14ac:dyDescent="0.2">
      <c r="A27" s="163"/>
      <c r="B27" s="127"/>
      <c r="C27" s="34" t="s">
        <v>11</v>
      </c>
      <c r="D27" s="6">
        <f t="shared" ref="D27:J27" si="10">D22</f>
        <v>15000</v>
      </c>
      <c r="E27" s="6">
        <f t="shared" si="10"/>
        <v>13000</v>
      </c>
      <c r="F27" s="6">
        <f t="shared" si="10"/>
        <v>11000</v>
      </c>
      <c r="G27" s="7">
        <f t="shared" si="10"/>
        <v>9000</v>
      </c>
      <c r="H27" s="7">
        <f t="shared" si="10"/>
        <v>7000</v>
      </c>
      <c r="I27" s="7">
        <f t="shared" si="10"/>
        <v>5000</v>
      </c>
      <c r="J27" s="7">
        <f t="shared" si="10"/>
        <v>3000</v>
      </c>
      <c r="K27" s="163"/>
    </row>
    <row r="28" spans="1:18" x14ac:dyDescent="0.2">
      <c r="A28" s="163"/>
      <c r="B28" s="127"/>
      <c r="C28" s="38" t="s">
        <v>44</v>
      </c>
      <c r="D28" s="33">
        <f>D23</f>
        <v>14000</v>
      </c>
      <c r="E28" s="33">
        <f>D28</f>
        <v>14000</v>
      </c>
      <c r="F28" s="33">
        <f t="shared" ref="F28" si="11">E28</f>
        <v>14000</v>
      </c>
      <c r="G28" s="33">
        <f t="shared" ref="G28" si="12">F28</f>
        <v>14000</v>
      </c>
      <c r="H28" s="33">
        <f t="shared" ref="H28" si="13">G28</f>
        <v>14000</v>
      </c>
      <c r="I28" s="33">
        <f t="shared" ref="I28" si="14">H28</f>
        <v>14000</v>
      </c>
      <c r="J28" s="33">
        <f t="shared" ref="J28" si="15">I28</f>
        <v>14000</v>
      </c>
      <c r="K28" s="163"/>
    </row>
    <row r="29" spans="1:18" x14ac:dyDescent="0.2">
      <c r="A29" s="163"/>
      <c r="B29" s="127"/>
      <c r="C29" s="38" t="s">
        <v>47</v>
      </c>
      <c r="D29" s="33">
        <f>(((D26-D27)*0.95)*2)-D28*2</f>
        <v>84945.5</v>
      </c>
      <c r="E29" s="33">
        <f t="shared" ref="E29:J29" si="16">(((E26-E27)*0.95)*2)-E28*2</f>
        <v>88745.5</v>
      </c>
      <c r="F29" s="33">
        <f t="shared" si="16"/>
        <v>92545.5</v>
      </c>
      <c r="G29" s="33">
        <f t="shared" si="16"/>
        <v>96345.5</v>
      </c>
      <c r="H29" s="33">
        <f t="shared" si="16"/>
        <v>100145.5</v>
      </c>
      <c r="I29" s="33">
        <f t="shared" si="16"/>
        <v>103945.5</v>
      </c>
      <c r="J29" s="33">
        <f t="shared" si="16"/>
        <v>107745.5</v>
      </c>
      <c r="K29" s="163"/>
    </row>
    <row r="30" spans="1:18" x14ac:dyDescent="0.2">
      <c r="A30" s="163"/>
      <c r="B30" s="127"/>
      <c r="C30" s="38" t="s">
        <v>48</v>
      </c>
      <c r="D30" s="33">
        <f>(D26-D27)-D28</f>
        <v>45445</v>
      </c>
      <c r="E30" s="33">
        <f t="shared" ref="E30:J30" si="17">(E26-E27)-E28</f>
        <v>47445</v>
      </c>
      <c r="F30" s="33">
        <f t="shared" si="17"/>
        <v>49445</v>
      </c>
      <c r="G30" s="33">
        <f t="shared" si="17"/>
        <v>51445</v>
      </c>
      <c r="H30" s="33">
        <f t="shared" si="17"/>
        <v>53445</v>
      </c>
      <c r="I30" s="33">
        <f t="shared" si="17"/>
        <v>55445</v>
      </c>
      <c r="J30" s="33">
        <f t="shared" si="17"/>
        <v>57445</v>
      </c>
      <c r="K30" s="163"/>
    </row>
    <row r="31" spans="1:18" x14ac:dyDescent="0.2">
      <c r="A31" s="163"/>
      <c r="B31" s="128" t="s">
        <v>13</v>
      </c>
      <c r="C31" s="128"/>
      <c r="D31" s="33">
        <f t="shared" ref="D31:J31" si="18">SUM(D19,D24,D29)</f>
        <v>237945.5</v>
      </c>
      <c r="E31" s="33">
        <f t="shared" si="18"/>
        <v>249345.5</v>
      </c>
      <c r="F31" s="33">
        <f t="shared" si="18"/>
        <v>260745.5</v>
      </c>
      <c r="G31" s="33">
        <f t="shared" si="18"/>
        <v>272145.5</v>
      </c>
      <c r="H31" s="33">
        <f t="shared" si="18"/>
        <v>283545.5</v>
      </c>
      <c r="I31" s="33">
        <f t="shared" si="18"/>
        <v>294945.5</v>
      </c>
      <c r="J31" s="33">
        <f t="shared" si="18"/>
        <v>306345.5</v>
      </c>
      <c r="K31" s="163"/>
    </row>
    <row r="32" spans="1:18" x14ac:dyDescent="0.2">
      <c r="A32" s="160"/>
      <c r="B32" s="161"/>
      <c r="C32" s="161"/>
      <c r="D32" s="161"/>
      <c r="E32" s="161"/>
      <c r="F32" s="161"/>
      <c r="G32" s="161"/>
      <c r="H32" s="161"/>
      <c r="I32" s="161"/>
      <c r="J32" s="162"/>
      <c r="K32" s="163"/>
    </row>
    <row r="33" spans="1:18" ht="28" customHeight="1" x14ac:dyDescent="0.2">
      <c r="A33" s="163" t="s">
        <v>14</v>
      </c>
      <c r="B33" s="126" t="s">
        <v>38</v>
      </c>
      <c r="C33" s="4" t="s">
        <v>15</v>
      </c>
      <c r="D33" s="6">
        <f>D16*0.75</f>
        <v>51825</v>
      </c>
      <c r="E33" s="6">
        <f t="shared" ref="E33:J33" si="19">D33</f>
        <v>51825</v>
      </c>
      <c r="F33" s="6">
        <f t="shared" si="19"/>
        <v>51825</v>
      </c>
      <c r="G33" s="6">
        <f t="shared" si="19"/>
        <v>51825</v>
      </c>
      <c r="H33" s="7">
        <f t="shared" si="19"/>
        <v>51825</v>
      </c>
      <c r="I33" s="7">
        <f t="shared" si="19"/>
        <v>51825</v>
      </c>
      <c r="J33" s="7">
        <f t="shared" si="19"/>
        <v>51825</v>
      </c>
      <c r="K33" s="163"/>
    </row>
    <row r="34" spans="1:18" x14ac:dyDescent="0.2">
      <c r="A34" s="163"/>
      <c r="B34" s="127"/>
      <c r="C34" s="19" t="s">
        <v>11</v>
      </c>
      <c r="D34" s="6">
        <v>15000</v>
      </c>
      <c r="E34" s="6">
        <v>13000</v>
      </c>
      <c r="F34" s="6">
        <v>11000</v>
      </c>
      <c r="G34" s="6">
        <v>9000</v>
      </c>
      <c r="H34" s="7">
        <v>7000</v>
      </c>
      <c r="I34" s="7">
        <v>5000</v>
      </c>
      <c r="J34" s="7">
        <v>3000</v>
      </c>
      <c r="K34" s="163"/>
    </row>
    <row r="35" spans="1:18" x14ac:dyDescent="0.2">
      <c r="A35" s="163"/>
      <c r="B35" s="127"/>
      <c r="C35" s="36" t="s">
        <v>47</v>
      </c>
      <c r="D35" s="31">
        <f>((D33-D34)*0.95)*2</f>
        <v>69967.5</v>
      </c>
      <c r="E35" s="31">
        <f t="shared" ref="E35:J35" si="20">((E33-E34)*0.95)*2</f>
        <v>73767.5</v>
      </c>
      <c r="F35" s="31">
        <f t="shared" si="20"/>
        <v>77567.5</v>
      </c>
      <c r="G35" s="31">
        <f t="shared" si="20"/>
        <v>81367.5</v>
      </c>
      <c r="H35" s="31">
        <f t="shared" si="20"/>
        <v>85167.5</v>
      </c>
      <c r="I35" s="31">
        <f t="shared" si="20"/>
        <v>88967.5</v>
      </c>
      <c r="J35" s="31">
        <f t="shared" si="20"/>
        <v>92767.5</v>
      </c>
      <c r="K35" s="163"/>
    </row>
    <row r="36" spans="1:18" x14ac:dyDescent="0.2">
      <c r="A36" s="163"/>
      <c r="B36" s="127"/>
      <c r="C36" s="41" t="s">
        <v>48</v>
      </c>
      <c r="D36" s="31">
        <f>(D33-D34)</f>
        <v>36825</v>
      </c>
      <c r="E36" s="31">
        <f t="shared" ref="E36:J36" si="21">(E33-E34)</f>
        <v>38825</v>
      </c>
      <c r="F36" s="31">
        <f t="shared" si="21"/>
        <v>40825</v>
      </c>
      <c r="G36" s="31">
        <f t="shared" si="21"/>
        <v>42825</v>
      </c>
      <c r="H36" s="31">
        <f t="shared" si="21"/>
        <v>44825</v>
      </c>
      <c r="I36" s="31">
        <f t="shared" si="21"/>
        <v>46825</v>
      </c>
      <c r="J36" s="31">
        <f t="shared" si="21"/>
        <v>48825</v>
      </c>
      <c r="K36" s="163"/>
      <c r="L36" s="24"/>
      <c r="M36" s="24"/>
      <c r="N36" s="24"/>
      <c r="O36" s="24"/>
      <c r="P36" s="24"/>
      <c r="Q36" s="24"/>
      <c r="R36" s="24"/>
    </row>
    <row r="37" spans="1:18" ht="24" customHeight="1" x14ac:dyDescent="0.2">
      <c r="A37" s="163"/>
      <c r="B37" s="126" t="s">
        <v>39</v>
      </c>
      <c r="C37" s="4" t="s">
        <v>15</v>
      </c>
      <c r="D37" s="6">
        <f>D21*0.75</f>
        <v>53175</v>
      </c>
      <c r="E37" s="6">
        <f t="shared" ref="E37:J37" si="22">D37</f>
        <v>53175</v>
      </c>
      <c r="F37" s="6">
        <f t="shared" si="22"/>
        <v>53175</v>
      </c>
      <c r="G37" s="6">
        <f t="shared" si="22"/>
        <v>53175</v>
      </c>
      <c r="H37" s="7">
        <f t="shared" si="22"/>
        <v>53175</v>
      </c>
      <c r="I37" s="7">
        <f t="shared" si="22"/>
        <v>53175</v>
      </c>
      <c r="J37" s="7">
        <f t="shared" si="22"/>
        <v>53175</v>
      </c>
      <c r="K37" s="163"/>
    </row>
    <row r="38" spans="1:18" x14ac:dyDescent="0.2">
      <c r="A38" s="163"/>
      <c r="B38" s="127"/>
      <c r="C38" s="19" t="s">
        <v>11</v>
      </c>
      <c r="D38" s="6">
        <f t="shared" ref="D38:J38" si="23">D34</f>
        <v>15000</v>
      </c>
      <c r="E38" s="6">
        <f t="shared" si="23"/>
        <v>13000</v>
      </c>
      <c r="F38" s="6">
        <f t="shared" si="23"/>
        <v>11000</v>
      </c>
      <c r="G38" s="6">
        <f t="shared" si="23"/>
        <v>9000</v>
      </c>
      <c r="H38" s="7">
        <f t="shared" si="23"/>
        <v>7000</v>
      </c>
      <c r="I38" s="7">
        <f t="shared" si="23"/>
        <v>5000</v>
      </c>
      <c r="J38" s="7">
        <f t="shared" si="23"/>
        <v>3000</v>
      </c>
      <c r="K38" s="163"/>
      <c r="L38" s="24"/>
      <c r="M38" s="24"/>
      <c r="N38" s="24"/>
      <c r="O38" s="24"/>
      <c r="P38" s="24"/>
      <c r="Q38" s="24"/>
      <c r="R38" s="24"/>
    </row>
    <row r="39" spans="1:18" x14ac:dyDescent="0.2">
      <c r="A39" s="163"/>
      <c r="B39" s="127"/>
      <c r="C39" s="37" t="s">
        <v>47</v>
      </c>
      <c r="D39" s="32">
        <f>((D37-D38)*0.95)*2</f>
        <v>72532.5</v>
      </c>
      <c r="E39" s="32">
        <f t="shared" ref="E39:J39" si="24">((E37-E38)*0.95)*2</f>
        <v>76332.5</v>
      </c>
      <c r="F39" s="32">
        <f t="shared" si="24"/>
        <v>80132.5</v>
      </c>
      <c r="G39" s="32">
        <f t="shared" si="24"/>
        <v>83932.5</v>
      </c>
      <c r="H39" s="32">
        <f t="shared" si="24"/>
        <v>87732.5</v>
      </c>
      <c r="I39" s="32">
        <f t="shared" si="24"/>
        <v>91532.5</v>
      </c>
      <c r="J39" s="32">
        <f t="shared" si="24"/>
        <v>95332.5</v>
      </c>
      <c r="K39" s="163"/>
    </row>
    <row r="40" spans="1:18" x14ac:dyDescent="0.2">
      <c r="A40" s="163"/>
      <c r="B40" s="127"/>
      <c r="C40" s="39" t="s">
        <v>48</v>
      </c>
      <c r="D40" s="32">
        <f>(D37-D38)</f>
        <v>38175</v>
      </c>
      <c r="E40" s="32">
        <f t="shared" ref="E40:J40" si="25">(E37-E38)</f>
        <v>40175</v>
      </c>
      <c r="F40" s="32">
        <f t="shared" si="25"/>
        <v>42175</v>
      </c>
      <c r="G40" s="32">
        <f t="shared" si="25"/>
        <v>44175</v>
      </c>
      <c r="H40" s="32">
        <f t="shared" si="25"/>
        <v>46175</v>
      </c>
      <c r="I40" s="32">
        <f t="shared" si="25"/>
        <v>48175</v>
      </c>
      <c r="J40" s="32">
        <f t="shared" si="25"/>
        <v>50175</v>
      </c>
      <c r="K40" s="163"/>
    </row>
    <row r="41" spans="1:18" x14ac:dyDescent="0.2">
      <c r="A41" s="163"/>
      <c r="B41" s="126" t="s">
        <v>40</v>
      </c>
      <c r="C41" s="4" t="s">
        <v>15</v>
      </c>
      <c r="D41" s="6">
        <f>D37*1.05</f>
        <v>55833.75</v>
      </c>
      <c r="E41" s="6">
        <f t="shared" ref="E41:J41" si="26">D41</f>
        <v>55833.75</v>
      </c>
      <c r="F41" s="6">
        <f t="shared" si="26"/>
        <v>55833.75</v>
      </c>
      <c r="G41" s="6">
        <f t="shared" si="26"/>
        <v>55833.75</v>
      </c>
      <c r="H41" s="7">
        <f t="shared" si="26"/>
        <v>55833.75</v>
      </c>
      <c r="I41" s="7">
        <f t="shared" si="26"/>
        <v>55833.75</v>
      </c>
      <c r="J41" s="7">
        <f t="shared" si="26"/>
        <v>55833.75</v>
      </c>
      <c r="K41" s="163"/>
    </row>
    <row r="42" spans="1:18" x14ac:dyDescent="0.2">
      <c r="A42" s="163"/>
      <c r="B42" s="127"/>
      <c r="C42" s="19" t="s">
        <v>11</v>
      </c>
      <c r="D42" s="6">
        <f t="shared" ref="D42:J42" si="27">D38</f>
        <v>15000</v>
      </c>
      <c r="E42" s="6">
        <f t="shared" si="27"/>
        <v>13000</v>
      </c>
      <c r="F42" s="6">
        <f t="shared" si="27"/>
        <v>11000</v>
      </c>
      <c r="G42" s="6">
        <f t="shared" si="27"/>
        <v>9000</v>
      </c>
      <c r="H42" s="7">
        <f t="shared" si="27"/>
        <v>7000</v>
      </c>
      <c r="I42" s="7">
        <f t="shared" si="27"/>
        <v>5000</v>
      </c>
      <c r="J42" s="7">
        <f t="shared" si="27"/>
        <v>3000</v>
      </c>
      <c r="K42" s="163"/>
    </row>
    <row r="43" spans="1:18" x14ac:dyDescent="0.2">
      <c r="A43" s="163"/>
      <c r="B43" s="127"/>
      <c r="C43" s="38" t="s">
        <v>47</v>
      </c>
      <c r="D43" s="33">
        <f>((D41-D42)*0.95)*2</f>
        <v>77584.125</v>
      </c>
      <c r="E43" s="33">
        <f t="shared" ref="E43:J43" si="28">((E41-E42)*0.95)*2</f>
        <v>81384.125</v>
      </c>
      <c r="F43" s="33">
        <f t="shared" si="28"/>
        <v>85184.125</v>
      </c>
      <c r="G43" s="33">
        <f t="shared" si="28"/>
        <v>88984.125</v>
      </c>
      <c r="H43" s="33">
        <f t="shared" si="28"/>
        <v>92784.125</v>
      </c>
      <c r="I43" s="33">
        <f t="shared" si="28"/>
        <v>96584.125</v>
      </c>
      <c r="J43" s="33">
        <f t="shared" si="28"/>
        <v>100384.125</v>
      </c>
      <c r="K43" s="163"/>
    </row>
    <row r="44" spans="1:18" x14ac:dyDescent="0.2">
      <c r="A44" s="163"/>
      <c r="B44" s="127"/>
      <c r="C44" s="40" t="s">
        <v>48</v>
      </c>
      <c r="D44" s="33">
        <f>(D41-D42)</f>
        <v>40833.75</v>
      </c>
      <c r="E44" s="33">
        <f t="shared" ref="E44:J44" si="29">(E41-E42)</f>
        <v>42833.75</v>
      </c>
      <c r="F44" s="33">
        <f t="shared" si="29"/>
        <v>44833.75</v>
      </c>
      <c r="G44" s="33">
        <f t="shared" si="29"/>
        <v>46833.75</v>
      </c>
      <c r="H44" s="33">
        <f t="shared" si="29"/>
        <v>48833.75</v>
      </c>
      <c r="I44" s="33">
        <f t="shared" si="29"/>
        <v>50833.75</v>
      </c>
      <c r="J44" s="33">
        <f t="shared" si="29"/>
        <v>52833.75</v>
      </c>
      <c r="K44" s="163"/>
    </row>
    <row r="45" spans="1:18" x14ac:dyDescent="0.2">
      <c r="A45" s="163"/>
      <c r="B45" s="128" t="s">
        <v>13</v>
      </c>
      <c r="C45" s="128"/>
      <c r="D45" s="33">
        <f t="shared" ref="D45:J45" si="30">SUM(D35,D39,D43)</f>
        <v>220084.125</v>
      </c>
      <c r="E45" s="33">
        <f t="shared" si="30"/>
        <v>231484.125</v>
      </c>
      <c r="F45" s="33">
        <f t="shared" si="30"/>
        <v>242884.125</v>
      </c>
      <c r="G45" s="33">
        <f t="shared" si="30"/>
        <v>254284.125</v>
      </c>
      <c r="H45" s="33">
        <f t="shared" si="30"/>
        <v>265684.125</v>
      </c>
      <c r="I45" s="33">
        <f t="shared" si="30"/>
        <v>277084.125</v>
      </c>
      <c r="J45" s="33">
        <f t="shared" si="30"/>
        <v>288484.125</v>
      </c>
      <c r="K45" s="163"/>
    </row>
    <row r="46" spans="1:18" ht="16" customHeight="1" x14ac:dyDescent="0.2">
      <c r="A46" s="134" t="s">
        <v>16</v>
      </c>
      <c r="B46" s="134"/>
      <c r="C46" s="134"/>
      <c r="D46" s="134"/>
      <c r="E46" s="134"/>
      <c r="F46" s="134"/>
      <c r="G46" s="134"/>
      <c r="H46" s="134"/>
      <c r="I46" s="134"/>
      <c r="J46" s="134"/>
      <c r="K46" s="134"/>
    </row>
    <row r="47" spans="1:18" ht="4" customHeight="1" x14ac:dyDescent="0.2">
      <c r="A47" s="134"/>
      <c r="B47" s="134"/>
      <c r="C47" s="134"/>
      <c r="D47" s="134"/>
      <c r="E47" s="134"/>
      <c r="F47" s="134"/>
      <c r="G47" s="134"/>
      <c r="H47" s="134"/>
      <c r="I47" s="134"/>
      <c r="J47" s="134"/>
      <c r="K47" s="134"/>
    </row>
    <row r="48" spans="1:18" ht="2" customHeight="1" x14ac:dyDescent="0.2">
      <c r="A48" s="134"/>
      <c r="B48" s="134"/>
      <c r="C48" s="134"/>
      <c r="D48" s="134"/>
      <c r="E48" s="134"/>
      <c r="F48" s="134"/>
      <c r="G48" s="134"/>
      <c r="H48" s="134"/>
      <c r="I48" s="134"/>
      <c r="J48" s="134"/>
      <c r="K48" s="134"/>
    </row>
    <row r="49" spans="1:9" x14ac:dyDescent="0.2">
      <c r="A49" s="22" t="s">
        <v>17</v>
      </c>
      <c r="B49" s="23"/>
      <c r="C49" s="139" t="s">
        <v>18</v>
      </c>
      <c r="D49" s="139"/>
      <c r="E49" s="8">
        <v>5000</v>
      </c>
      <c r="F49" s="9"/>
      <c r="G49" s="10"/>
    </row>
    <row r="50" spans="1:9" x14ac:dyDescent="0.2">
      <c r="A50" s="22"/>
      <c r="B50" s="23"/>
      <c r="C50" s="116" t="s">
        <v>19</v>
      </c>
      <c r="D50" s="116"/>
      <c r="E50" s="11">
        <v>3000</v>
      </c>
      <c r="F50" s="9"/>
      <c r="G50" s="10"/>
    </row>
    <row r="51" spans="1:9" ht="17" thickBot="1" x14ac:dyDescent="0.25">
      <c r="A51" s="42"/>
      <c r="B51" s="43"/>
      <c r="C51" s="118" t="s">
        <v>20</v>
      </c>
      <c r="D51" s="118"/>
      <c r="E51" s="11">
        <v>3000</v>
      </c>
      <c r="F51" s="12"/>
      <c r="G51" s="13"/>
    </row>
    <row r="52" spans="1:9" ht="25" thickBot="1" x14ac:dyDescent="0.25">
      <c r="A52" s="14" t="s">
        <v>21</v>
      </c>
      <c r="B52" s="15" t="s">
        <v>22</v>
      </c>
      <c r="C52" s="16" t="s">
        <v>23</v>
      </c>
      <c r="D52" s="16" t="s">
        <v>24</v>
      </c>
      <c r="E52" s="16" t="s">
        <v>25</v>
      </c>
      <c r="F52" s="17" t="s">
        <v>26</v>
      </c>
      <c r="G52" s="15" t="s">
        <v>27</v>
      </c>
      <c r="H52" s="15" t="s">
        <v>28</v>
      </c>
      <c r="I52" s="15" t="s">
        <v>29</v>
      </c>
    </row>
    <row r="53" spans="1:9" ht="17" thickBot="1" x14ac:dyDescent="0.25">
      <c r="A53" s="21" t="s">
        <v>30</v>
      </c>
      <c r="B53" s="18">
        <f>B54*2</f>
        <v>7000</v>
      </c>
      <c r="C53" s="18">
        <f t="shared" ref="C53:H53" si="31">C54*2</f>
        <v>5000</v>
      </c>
      <c r="D53" s="18">
        <v>1000</v>
      </c>
      <c r="E53" s="18">
        <f t="shared" si="31"/>
        <v>1500</v>
      </c>
      <c r="F53" s="18">
        <f t="shared" si="31"/>
        <v>1000</v>
      </c>
      <c r="G53" s="18">
        <f t="shared" si="31"/>
        <v>1000</v>
      </c>
      <c r="H53" s="18">
        <f t="shared" si="31"/>
        <v>2000</v>
      </c>
      <c r="I53" s="18">
        <f>SUM(B53:H53)</f>
        <v>18500</v>
      </c>
    </row>
    <row r="54" spans="1:9" x14ac:dyDescent="0.2">
      <c r="A54" s="52" t="s">
        <v>31</v>
      </c>
      <c r="B54" s="53">
        <v>3500</v>
      </c>
      <c r="C54" s="53">
        <v>2500</v>
      </c>
      <c r="D54" s="64">
        <v>1000</v>
      </c>
      <c r="E54" s="64">
        <v>750</v>
      </c>
      <c r="F54" s="64">
        <v>500</v>
      </c>
      <c r="G54" s="53">
        <v>500</v>
      </c>
      <c r="H54" s="53">
        <v>1000</v>
      </c>
      <c r="I54" s="53">
        <f>SUM(B54:H54)</f>
        <v>9750</v>
      </c>
    </row>
    <row r="55" spans="1:9" ht="16" customHeight="1" x14ac:dyDescent="0.2">
      <c r="A55" s="140" t="s">
        <v>45</v>
      </c>
      <c r="B55" s="140"/>
      <c r="C55" s="140"/>
      <c r="D55" s="140"/>
      <c r="E55" s="140"/>
      <c r="F55" s="140"/>
      <c r="G55" s="140"/>
      <c r="H55" s="140"/>
      <c r="I55" s="140"/>
    </row>
    <row r="56" spans="1:9" ht="24" customHeight="1" x14ac:dyDescent="0.2">
      <c r="A56" s="140" t="s">
        <v>46</v>
      </c>
      <c r="B56" s="140"/>
      <c r="C56" s="140"/>
      <c r="D56" s="140"/>
      <c r="E56" s="140"/>
      <c r="F56" s="140"/>
      <c r="G56" s="140"/>
      <c r="H56" s="140"/>
      <c r="I56" s="140"/>
    </row>
    <row r="57" spans="1:9" ht="41" customHeight="1" x14ac:dyDescent="0.2">
      <c r="A57" s="141" t="s">
        <v>43</v>
      </c>
      <c r="B57" s="141"/>
      <c r="C57" s="141"/>
      <c r="D57" s="141"/>
      <c r="E57" s="141"/>
      <c r="F57" s="141"/>
      <c r="G57" s="141"/>
      <c r="H57" s="141"/>
      <c r="I57" s="141"/>
    </row>
    <row r="58" spans="1:9" x14ac:dyDescent="0.2">
      <c r="A58" s="140" t="s">
        <v>32</v>
      </c>
      <c r="B58" s="140"/>
      <c r="C58" s="140"/>
      <c r="D58" s="140"/>
      <c r="E58" s="140"/>
      <c r="F58" s="140"/>
      <c r="G58" s="140"/>
      <c r="H58" s="140"/>
      <c r="I58" s="140"/>
    </row>
    <row r="59" spans="1:9" x14ac:dyDescent="0.2">
      <c r="A59" s="129" t="s">
        <v>95</v>
      </c>
      <c r="B59" s="130"/>
      <c r="C59" s="130"/>
      <c r="D59" s="130"/>
      <c r="E59" s="130"/>
      <c r="F59" s="130"/>
      <c r="G59" s="130"/>
      <c r="H59" s="130"/>
      <c r="I59" s="131"/>
    </row>
  </sheetData>
  <mergeCells count="23">
    <mergeCell ref="A46:K48"/>
    <mergeCell ref="A58:I58"/>
    <mergeCell ref="A55:I55"/>
    <mergeCell ref="A56:I56"/>
    <mergeCell ref="A57:I57"/>
    <mergeCell ref="C50:D50"/>
    <mergeCell ref="C51:D51"/>
    <mergeCell ref="A59:I59"/>
    <mergeCell ref="C49:D49"/>
    <mergeCell ref="A1:K10"/>
    <mergeCell ref="A11:K14"/>
    <mergeCell ref="A15:A31"/>
    <mergeCell ref="K15:K45"/>
    <mergeCell ref="B16:B20"/>
    <mergeCell ref="B21:B25"/>
    <mergeCell ref="B26:B30"/>
    <mergeCell ref="B31:C31"/>
    <mergeCell ref="A32:J32"/>
    <mergeCell ref="A33:A45"/>
    <mergeCell ref="B33:B36"/>
    <mergeCell ref="B37:B40"/>
    <mergeCell ref="B41:B44"/>
    <mergeCell ref="B45:C45"/>
  </mergeCells>
  <pageMargins left="0.7" right="0.7" top="0.75" bottom="0.75" header="0.3" footer="0.3"/>
  <pageSetup paperSize="9" scale="3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A8598-2065-5D4A-A040-2D122DE23998}">
  <sheetPr>
    <pageSetUpPr fitToPage="1"/>
  </sheetPr>
  <dimension ref="A1:AB64"/>
  <sheetViews>
    <sheetView topLeftCell="B22" zoomScale="125" workbookViewId="0">
      <selection activeCell="G38" sqref="G38"/>
    </sheetView>
  </sheetViews>
  <sheetFormatPr baseColWidth="10" defaultColWidth="8.83203125" defaultRowHeight="16" x14ac:dyDescent="0.2"/>
  <cols>
    <col min="1" max="1" width="17.33203125" customWidth="1"/>
    <col min="2" max="2" width="23" bestFit="1" customWidth="1"/>
    <col min="3" max="3" width="41.1640625" bestFit="1" customWidth="1"/>
    <col min="4" max="4" width="16.83203125" customWidth="1"/>
    <col min="5" max="5" width="15.1640625" customWidth="1"/>
    <col min="6" max="6" width="14.83203125" customWidth="1"/>
    <col min="7" max="7" width="18.1640625" customWidth="1"/>
    <col min="8" max="12" width="16.6640625" customWidth="1"/>
  </cols>
  <sheetData>
    <row r="1" spans="1:17" x14ac:dyDescent="0.2">
      <c r="A1" s="119"/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7" x14ac:dyDescent="0.2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</row>
    <row r="3" spans="1:17" x14ac:dyDescent="0.2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</row>
    <row r="4" spans="1:17" x14ac:dyDescent="0.2">
      <c r="A4" s="119"/>
      <c r="B4" s="119"/>
      <c r="C4" s="119"/>
      <c r="D4" s="119"/>
      <c r="E4" s="119"/>
      <c r="F4" s="119"/>
      <c r="G4" s="119"/>
      <c r="H4" s="119"/>
      <c r="I4" s="119"/>
      <c r="J4" s="119"/>
      <c r="K4" s="119"/>
    </row>
    <row r="5" spans="1:17" x14ac:dyDescent="0.2">
      <c r="A5" s="119"/>
      <c r="B5" s="119"/>
      <c r="C5" s="119"/>
      <c r="D5" s="119"/>
      <c r="E5" s="119"/>
      <c r="F5" s="119"/>
      <c r="G5" s="119"/>
      <c r="H5" s="119"/>
      <c r="I5" s="119"/>
      <c r="J5" s="119"/>
      <c r="K5" s="119"/>
    </row>
    <row r="6" spans="1:17" x14ac:dyDescent="0.2">
      <c r="A6" s="119"/>
      <c r="B6" s="119"/>
      <c r="C6" s="119"/>
      <c r="D6" s="119"/>
      <c r="E6" s="119"/>
      <c r="F6" s="119"/>
      <c r="G6" s="119"/>
      <c r="H6" s="119"/>
      <c r="I6" s="119"/>
      <c r="J6" s="119"/>
      <c r="K6" s="119"/>
    </row>
    <row r="7" spans="1:17" x14ac:dyDescent="0.2">
      <c r="A7" s="119"/>
      <c r="B7" s="119"/>
      <c r="C7" s="119"/>
      <c r="D7" s="119"/>
      <c r="E7" s="119"/>
      <c r="F7" s="119"/>
      <c r="G7" s="119"/>
      <c r="H7" s="119"/>
      <c r="I7" s="119"/>
      <c r="J7" s="119"/>
      <c r="K7" s="119"/>
    </row>
    <row r="8" spans="1:17" x14ac:dyDescent="0.2">
      <c r="A8" s="119"/>
      <c r="B8" s="119"/>
      <c r="C8" s="119"/>
      <c r="D8" s="119"/>
      <c r="E8" s="119"/>
      <c r="F8" s="119"/>
      <c r="G8" s="119"/>
      <c r="H8" s="119"/>
      <c r="I8" s="119"/>
      <c r="J8" s="119"/>
      <c r="K8" s="119"/>
    </row>
    <row r="9" spans="1:17" x14ac:dyDescent="0.2">
      <c r="A9" s="119"/>
      <c r="B9" s="119"/>
      <c r="C9" s="119"/>
      <c r="D9" s="119"/>
      <c r="E9" s="119"/>
      <c r="F9" s="119"/>
      <c r="G9" s="119"/>
      <c r="H9" s="119"/>
      <c r="I9" s="119"/>
      <c r="J9" s="119"/>
      <c r="K9" s="119"/>
    </row>
    <row r="10" spans="1:17" x14ac:dyDescent="0.2">
      <c r="A10" s="119"/>
      <c r="B10" s="119"/>
      <c r="C10" s="119"/>
      <c r="D10" s="119"/>
      <c r="E10" s="119"/>
      <c r="F10" s="119"/>
      <c r="G10" s="119"/>
      <c r="H10" s="119"/>
      <c r="I10" s="119"/>
      <c r="J10" s="119"/>
      <c r="K10" s="119"/>
    </row>
    <row r="11" spans="1:17" ht="14.5" customHeight="1" x14ac:dyDescent="0.2">
      <c r="A11" s="151" t="s">
        <v>83</v>
      </c>
      <c r="B11" s="152"/>
      <c r="C11" s="152"/>
      <c r="D11" s="152"/>
      <c r="E11" s="152"/>
      <c r="F11" s="152"/>
      <c r="G11" s="152"/>
      <c r="H11" s="152"/>
      <c r="I11" s="152"/>
      <c r="J11" s="152"/>
      <c r="K11" s="152"/>
    </row>
    <row r="12" spans="1:17" ht="14.5" customHeight="1" x14ac:dyDescent="0.2">
      <c r="A12" s="154"/>
      <c r="B12" s="155"/>
      <c r="C12" s="155"/>
      <c r="D12" s="155"/>
      <c r="E12" s="155"/>
      <c r="F12" s="155"/>
      <c r="G12" s="155"/>
      <c r="H12" s="155"/>
      <c r="I12" s="155"/>
      <c r="J12" s="155"/>
      <c r="K12" s="155"/>
    </row>
    <row r="13" spans="1:17" ht="14.5" customHeight="1" x14ac:dyDescent="0.2">
      <c r="A13" s="154"/>
      <c r="B13" s="155"/>
      <c r="C13" s="155"/>
      <c r="D13" s="155"/>
      <c r="E13" s="155"/>
      <c r="F13" s="155"/>
      <c r="G13" s="155"/>
      <c r="H13" s="155"/>
      <c r="I13" s="155"/>
      <c r="J13" s="155"/>
      <c r="K13" s="155"/>
    </row>
    <row r="14" spans="1:17" ht="44" customHeight="1" x14ac:dyDescent="0.2">
      <c r="A14" s="157"/>
      <c r="B14" s="158"/>
      <c r="C14" s="158"/>
      <c r="D14" s="158"/>
      <c r="E14" s="158"/>
      <c r="F14" s="158"/>
      <c r="G14" s="158"/>
      <c r="H14" s="158"/>
      <c r="I14" s="158"/>
      <c r="J14" s="158"/>
      <c r="K14" s="158"/>
    </row>
    <row r="15" spans="1:17" ht="64" customHeight="1" thickBot="1" x14ac:dyDescent="0.25">
      <c r="A15" s="144" t="s">
        <v>0</v>
      </c>
      <c r="B15" s="1" t="s">
        <v>1</v>
      </c>
      <c r="C15" s="2" t="s">
        <v>2</v>
      </c>
      <c r="D15" s="62" t="s">
        <v>64</v>
      </c>
      <c r="E15" s="62" t="s">
        <v>65</v>
      </c>
      <c r="F15" s="62" t="s">
        <v>66</v>
      </c>
      <c r="G15" s="62" t="s">
        <v>67</v>
      </c>
      <c r="H15" s="62" t="s">
        <v>68</v>
      </c>
      <c r="I15" s="62" t="s">
        <v>69</v>
      </c>
      <c r="J15" s="62" t="s">
        <v>70</v>
      </c>
      <c r="K15" s="144" t="s">
        <v>9</v>
      </c>
    </row>
    <row r="16" spans="1:17" x14ac:dyDescent="0.2">
      <c r="A16" s="145"/>
      <c r="B16" s="132" t="s">
        <v>38</v>
      </c>
      <c r="C16" s="34" t="s">
        <v>10</v>
      </c>
      <c r="D16" s="6">
        <v>67100</v>
      </c>
      <c r="E16" s="6">
        <f>D16</f>
        <v>67100</v>
      </c>
      <c r="F16" s="6">
        <f t="shared" ref="F16:H16" si="0">E16</f>
        <v>67100</v>
      </c>
      <c r="G16" s="7">
        <f t="shared" si="0"/>
        <v>67100</v>
      </c>
      <c r="H16" s="7">
        <f t="shared" si="0"/>
        <v>67100</v>
      </c>
      <c r="I16" s="7">
        <f>H16</f>
        <v>67100</v>
      </c>
      <c r="J16" s="7">
        <f>I16</f>
        <v>67100</v>
      </c>
      <c r="K16" s="145"/>
      <c r="L16" s="24"/>
      <c r="M16" s="24"/>
      <c r="N16" s="24"/>
      <c r="O16" s="24"/>
      <c r="P16" s="24"/>
      <c r="Q16" s="24"/>
    </row>
    <row r="17" spans="1:28" x14ac:dyDescent="0.2">
      <c r="A17" s="145"/>
      <c r="B17" s="133"/>
      <c r="C17" s="34" t="s">
        <v>11</v>
      </c>
      <c r="D17" s="6">
        <v>15500</v>
      </c>
      <c r="E17" s="6">
        <v>10500</v>
      </c>
      <c r="F17" s="6">
        <v>8500</v>
      </c>
      <c r="G17" s="7">
        <v>6500</v>
      </c>
      <c r="H17" s="7">
        <v>5500</v>
      </c>
      <c r="I17" s="7">
        <v>4500</v>
      </c>
      <c r="J17" s="7">
        <v>3500</v>
      </c>
      <c r="K17" s="145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 spans="1:28" x14ac:dyDescent="0.2">
      <c r="A18" s="145"/>
      <c r="B18" s="133"/>
      <c r="C18" s="36" t="s">
        <v>44</v>
      </c>
      <c r="D18" s="31">
        <v>13500</v>
      </c>
      <c r="E18" s="31">
        <f>D18</f>
        <v>13500</v>
      </c>
      <c r="F18" s="31">
        <f t="shared" ref="F18:J18" si="1">E18</f>
        <v>13500</v>
      </c>
      <c r="G18" s="31">
        <f t="shared" si="1"/>
        <v>13500</v>
      </c>
      <c r="H18" s="31">
        <f t="shared" si="1"/>
        <v>13500</v>
      </c>
      <c r="I18" s="31">
        <f t="shared" si="1"/>
        <v>13500</v>
      </c>
      <c r="J18" s="31">
        <f t="shared" si="1"/>
        <v>13500</v>
      </c>
      <c r="K18" s="145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</row>
    <row r="19" spans="1:28" x14ac:dyDescent="0.2">
      <c r="A19" s="145"/>
      <c r="B19" s="133"/>
      <c r="C19" s="36" t="s">
        <v>47</v>
      </c>
      <c r="D19" s="31">
        <f>(((D16-D17)*0.95)*2)-D18*2</f>
        <v>71040</v>
      </c>
      <c r="E19" s="31">
        <f t="shared" ref="E19:J19" si="2">(((E16-E17)*0.95)*2)-E18*2</f>
        <v>80540</v>
      </c>
      <c r="F19" s="31">
        <f t="shared" si="2"/>
        <v>84340</v>
      </c>
      <c r="G19" s="31">
        <f t="shared" si="2"/>
        <v>88140</v>
      </c>
      <c r="H19" s="31">
        <f t="shared" si="2"/>
        <v>90040</v>
      </c>
      <c r="I19" s="31">
        <f t="shared" si="2"/>
        <v>91940</v>
      </c>
      <c r="J19" s="31">
        <f t="shared" si="2"/>
        <v>93840</v>
      </c>
      <c r="K19" s="145"/>
      <c r="L19" s="24"/>
      <c r="M19" s="24"/>
      <c r="N19" s="24"/>
      <c r="O19" s="24"/>
      <c r="P19" s="24"/>
      <c r="Q19" s="24"/>
    </row>
    <row r="20" spans="1:28" ht="17" thickBot="1" x14ac:dyDescent="0.25">
      <c r="A20" s="145"/>
      <c r="B20" s="133"/>
      <c r="C20" s="36" t="s">
        <v>48</v>
      </c>
      <c r="D20" s="31">
        <f>(D16-D17)-D18</f>
        <v>38100</v>
      </c>
      <c r="E20" s="31">
        <f t="shared" ref="E20:J20" si="3">(E16-E17)-E18</f>
        <v>43100</v>
      </c>
      <c r="F20" s="31">
        <f t="shared" si="3"/>
        <v>45100</v>
      </c>
      <c r="G20" s="31">
        <f t="shared" si="3"/>
        <v>47100</v>
      </c>
      <c r="H20" s="31">
        <f t="shared" si="3"/>
        <v>48100</v>
      </c>
      <c r="I20" s="31">
        <f t="shared" si="3"/>
        <v>49100</v>
      </c>
      <c r="J20" s="31">
        <f t="shared" si="3"/>
        <v>50100</v>
      </c>
      <c r="K20" s="145"/>
      <c r="L20" s="24"/>
      <c r="M20" s="24"/>
      <c r="N20" s="24"/>
      <c r="O20" s="24"/>
      <c r="P20" s="24"/>
      <c r="Q20" s="24"/>
      <c r="R20" s="24"/>
    </row>
    <row r="21" spans="1:28" ht="16" customHeight="1" x14ac:dyDescent="0.2">
      <c r="A21" s="145"/>
      <c r="B21" s="132" t="s">
        <v>39</v>
      </c>
      <c r="C21" s="34" t="s">
        <v>12</v>
      </c>
      <c r="D21" s="6">
        <v>68800</v>
      </c>
      <c r="E21" s="6">
        <f t="shared" ref="E21:H21" si="4">D21</f>
        <v>68800</v>
      </c>
      <c r="F21" s="6">
        <f t="shared" si="4"/>
        <v>68800</v>
      </c>
      <c r="G21" s="7">
        <f t="shared" si="4"/>
        <v>68800</v>
      </c>
      <c r="H21" s="7">
        <f t="shared" si="4"/>
        <v>68800</v>
      </c>
      <c r="I21" s="7">
        <f>H21</f>
        <v>68800</v>
      </c>
      <c r="J21" s="7">
        <f t="shared" ref="J21" si="5">I21</f>
        <v>68800</v>
      </c>
      <c r="K21" s="145"/>
    </row>
    <row r="22" spans="1:28" x14ac:dyDescent="0.2">
      <c r="A22" s="145"/>
      <c r="B22" s="133"/>
      <c r="C22" s="34" t="s">
        <v>11</v>
      </c>
      <c r="D22" s="6">
        <f t="shared" ref="D22:J22" si="6">D17</f>
        <v>15500</v>
      </c>
      <c r="E22" s="6">
        <f t="shared" si="6"/>
        <v>10500</v>
      </c>
      <c r="F22" s="6">
        <f t="shared" si="6"/>
        <v>8500</v>
      </c>
      <c r="G22" s="7">
        <f t="shared" si="6"/>
        <v>6500</v>
      </c>
      <c r="H22" s="7">
        <f t="shared" si="6"/>
        <v>5500</v>
      </c>
      <c r="I22" s="7">
        <f t="shared" si="6"/>
        <v>4500</v>
      </c>
      <c r="J22" s="7">
        <f t="shared" si="6"/>
        <v>3500</v>
      </c>
      <c r="K22" s="145"/>
    </row>
    <row r="23" spans="1:28" x14ac:dyDescent="0.2">
      <c r="A23" s="145"/>
      <c r="B23" s="133"/>
      <c r="C23" s="37" t="s">
        <v>44</v>
      </c>
      <c r="D23" s="32">
        <f>D18</f>
        <v>13500</v>
      </c>
      <c r="E23" s="32">
        <f>D23</f>
        <v>13500</v>
      </c>
      <c r="F23" s="32">
        <f t="shared" ref="F23:J23" si="7">E23</f>
        <v>13500</v>
      </c>
      <c r="G23" s="32">
        <f t="shared" si="7"/>
        <v>13500</v>
      </c>
      <c r="H23" s="32">
        <f t="shared" si="7"/>
        <v>13500</v>
      </c>
      <c r="I23" s="32">
        <f t="shared" si="7"/>
        <v>13500</v>
      </c>
      <c r="J23" s="32">
        <f t="shared" si="7"/>
        <v>13500</v>
      </c>
      <c r="K23" s="145"/>
    </row>
    <row r="24" spans="1:28" x14ac:dyDescent="0.2">
      <c r="A24" s="145"/>
      <c r="B24" s="133"/>
      <c r="C24" s="37" t="s">
        <v>47</v>
      </c>
      <c r="D24" s="32">
        <f>(((D21-D22)*0.95)*2)-D23*2</f>
        <v>74270</v>
      </c>
      <c r="E24" s="32">
        <f t="shared" ref="E24:J24" si="8">(((E21-E22)*0.95)*2)-E23*2</f>
        <v>83770</v>
      </c>
      <c r="F24" s="32">
        <f t="shared" si="8"/>
        <v>87570</v>
      </c>
      <c r="G24" s="32">
        <f t="shared" si="8"/>
        <v>91370</v>
      </c>
      <c r="H24" s="32">
        <f t="shared" si="8"/>
        <v>93270</v>
      </c>
      <c r="I24" s="32">
        <f t="shared" si="8"/>
        <v>95170</v>
      </c>
      <c r="J24" s="32">
        <f t="shared" si="8"/>
        <v>97070</v>
      </c>
      <c r="K24" s="145"/>
    </row>
    <row r="25" spans="1:28" ht="17" thickBot="1" x14ac:dyDescent="0.25">
      <c r="A25" s="145"/>
      <c r="B25" s="133"/>
      <c r="C25" s="37" t="s">
        <v>48</v>
      </c>
      <c r="D25" s="32">
        <f>(D21-D22)-D23</f>
        <v>39800</v>
      </c>
      <c r="E25" s="32">
        <f t="shared" ref="E25:J25" si="9">(E21-E22)-E23</f>
        <v>44800</v>
      </c>
      <c r="F25" s="32">
        <f t="shared" si="9"/>
        <v>46800</v>
      </c>
      <c r="G25" s="32">
        <f t="shared" si="9"/>
        <v>48800</v>
      </c>
      <c r="H25" s="32">
        <f t="shared" si="9"/>
        <v>49800</v>
      </c>
      <c r="I25" s="32">
        <f t="shared" si="9"/>
        <v>50800</v>
      </c>
      <c r="J25" s="32">
        <f t="shared" si="9"/>
        <v>51800</v>
      </c>
      <c r="K25" s="145"/>
    </row>
    <row r="26" spans="1:28" x14ac:dyDescent="0.2">
      <c r="A26" s="145"/>
      <c r="B26" s="132" t="s">
        <v>40</v>
      </c>
      <c r="C26" s="34" t="s">
        <v>12</v>
      </c>
      <c r="D26" s="6">
        <f>D21*1.05</f>
        <v>72240</v>
      </c>
      <c r="E26" s="6">
        <f t="shared" ref="E26:H26" si="10">D26</f>
        <v>72240</v>
      </c>
      <c r="F26" s="6">
        <f t="shared" si="10"/>
        <v>72240</v>
      </c>
      <c r="G26" s="7">
        <f t="shared" si="10"/>
        <v>72240</v>
      </c>
      <c r="H26" s="7">
        <f t="shared" si="10"/>
        <v>72240</v>
      </c>
      <c r="I26" s="7">
        <f>I21*1.05</f>
        <v>72240</v>
      </c>
      <c r="J26" s="7">
        <f t="shared" ref="J26" si="11">I26</f>
        <v>72240</v>
      </c>
      <c r="K26" s="145"/>
    </row>
    <row r="27" spans="1:28" x14ac:dyDescent="0.2">
      <c r="A27" s="145"/>
      <c r="B27" s="133"/>
      <c r="C27" s="34" t="s">
        <v>11</v>
      </c>
      <c r="D27" s="6">
        <f t="shared" ref="D27:J27" si="12">D22</f>
        <v>15500</v>
      </c>
      <c r="E27" s="6">
        <f t="shared" si="12"/>
        <v>10500</v>
      </c>
      <c r="F27" s="6">
        <f t="shared" si="12"/>
        <v>8500</v>
      </c>
      <c r="G27" s="7">
        <f t="shared" si="12"/>
        <v>6500</v>
      </c>
      <c r="H27" s="7">
        <f t="shared" si="12"/>
        <v>5500</v>
      </c>
      <c r="I27" s="7">
        <f t="shared" si="12"/>
        <v>4500</v>
      </c>
      <c r="J27" s="7">
        <f t="shared" si="12"/>
        <v>3500</v>
      </c>
      <c r="K27" s="145"/>
    </row>
    <row r="28" spans="1:28" x14ac:dyDescent="0.2">
      <c r="A28" s="145"/>
      <c r="B28" s="133"/>
      <c r="C28" s="38" t="s">
        <v>44</v>
      </c>
      <c r="D28" s="33">
        <f>D23</f>
        <v>13500</v>
      </c>
      <c r="E28" s="33">
        <f>D28</f>
        <v>13500</v>
      </c>
      <c r="F28" s="33">
        <f t="shared" ref="F28:J28" si="13">E28</f>
        <v>13500</v>
      </c>
      <c r="G28" s="33">
        <f t="shared" si="13"/>
        <v>13500</v>
      </c>
      <c r="H28" s="33">
        <f t="shared" si="13"/>
        <v>13500</v>
      </c>
      <c r="I28" s="33">
        <f t="shared" si="13"/>
        <v>13500</v>
      </c>
      <c r="J28" s="33">
        <f t="shared" si="13"/>
        <v>13500</v>
      </c>
      <c r="K28" s="145"/>
    </row>
    <row r="29" spans="1:28" x14ac:dyDescent="0.2">
      <c r="A29" s="145"/>
      <c r="B29" s="133"/>
      <c r="C29" s="38" t="s">
        <v>47</v>
      </c>
      <c r="D29" s="33">
        <f>(((D26-D27)*0.95)*2)-D28*2</f>
        <v>80806</v>
      </c>
      <c r="E29" s="33">
        <f t="shared" ref="E29:J29" si="14">(((E26-E27)*0.95)*2)-E28*2</f>
        <v>90306</v>
      </c>
      <c r="F29" s="33">
        <f t="shared" si="14"/>
        <v>94106</v>
      </c>
      <c r="G29" s="33">
        <f t="shared" si="14"/>
        <v>97906</v>
      </c>
      <c r="H29" s="33">
        <f t="shared" si="14"/>
        <v>99806</v>
      </c>
      <c r="I29" s="33">
        <f t="shared" si="14"/>
        <v>101706</v>
      </c>
      <c r="J29" s="33">
        <f t="shared" si="14"/>
        <v>103606</v>
      </c>
      <c r="K29" s="145"/>
    </row>
    <row r="30" spans="1:28" x14ac:dyDescent="0.2">
      <c r="A30" s="145"/>
      <c r="B30" s="133"/>
      <c r="C30" s="38" t="s">
        <v>48</v>
      </c>
      <c r="D30" s="33">
        <f>(D26-D27)-D28</f>
        <v>43240</v>
      </c>
      <c r="E30" s="33">
        <f t="shared" ref="E30:J30" si="15">(E26-E27)-E28</f>
        <v>48240</v>
      </c>
      <c r="F30" s="33">
        <f t="shared" si="15"/>
        <v>50240</v>
      </c>
      <c r="G30" s="33">
        <f t="shared" si="15"/>
        <v>52240</v>
      </c>
      <c r="H30" s="33">
        <f t="shared" si="15"/>
        <v>53240</v>
      </c>
      <c r="I30" s="33">
        <f t="shared" si="15"/>
        <v>54240</v>
      </c>
      <c r="J30" s="33">
        <f t="shared" si="15"/>
        <v>55240</v>
      </c>
      <c r="K30" s="145"/>
    </row>
    <row r="31" spans="1:28" x14ac:dyDescent="0.2">
      <c r="A31" s="146"/>
      <c r="B31" s="149" t="s">
        <v>13</v>
      </c>
      <c r="C31" s="150"/>
      <c r="D31" s="33">
        <f t="shared" ref="D31:J31" si="16">SUM(D19,D24,D29)</f>
        <v>226116</v>
      </c>
      <c r="E31" s="33">
        <f t="shared" si="16"/>
        <v>254616</v>
      </c>
      <c r="F31" s="33">
        <f t="shared" si="16"/>
        <v>266016</v>
      </c>
      <c r="G31" s="33">
        <f t="shared" si="16"/>
        <v>277416</v>
      </c>
      <c r="H31" s="33">
        <f t="shared" si="16"/>
        <v>283116</v>
      </c>
      <c r="I31" s="33">
        <f t="shared" si="16"/>
        <v>288816</v>
      </c>
      <c r="J31" s="33">
        <f t="shared" si="16"/>
        <v>294516</v>
      </c>
      <c r="K31" s="145"/>
    </row>
    <row r="32" spans="1:28" ht="17" thickBot="1" x14ac:dyDescent="0.25">
      <c r="K32" s="145"/>
      <c r="L32" s="24"/>
      <c r="M32" s="24"/>
      <c r="N32" s="24"/>
      <c r="O32" s="24"/>
      <c r="P32" s="24"/>
      <c r="Q32" s="24"/>
    </row>
    <row r="33" spans="1:18" ht="24" customHeight="1" x14ac:dyDescent="0.2">
      <c r="A33" s="142" t="s">
        <v>14</v>
      </c>
      <c r="B33" s="132" t="s">
        <v>38</v>
      </c>
      <c r="C33" s="4" t="s">
        <v>15</v>
      </c>
      <c r="D33" s="6">
        <f>D16*0.75</f>
        <v>50325</v>
      </c>
      <c r="E33" s="6">
        <f t="shared" ref="E33:H33" si="17">D33</f>
        <v>50325</v>
      </c>
      <c r="F33" s="6">
        <f t="shared" si="17"/>
        <v>50325</v>
      </c>
      <c r="G33" s="6">
        <f t="shared" si="17"/>
        <v>50325</v>
      </c>
      <c r="H33" s="7">
        <f t="shared" si="17"/>
        <v>50325</v>
      </c>
      <c r="I33" s="7">
        <f>I16*0.75</f>
        <v>50325</v>
      </c>
      <c r="J33" s="7">
        <f t="shared" ref="J33" si="18">I33</f>
        <v>50325</v>
      </c>
      <c r="K33" s="145"/>
    </row>
    <row r="34" spans="1:18" x14ac:dyDescent="0.2">
      <c r="A34" s="143"/>
      <c r="B34" s="133"/>
      <c r="C34" s="19" t="s">
        <v>11</v>
      </c>
      <c r="D34" s="6">
        <v>15500</v>
      </c>
      <c r="E34" s="6">
        <v>10500</v>
      </c>
      <c r="F34" s="6">
        <v>8500</v>
      </c>
      <c r="G34" s="7">
        <v>6500</v>
      </c>
      <c r="H34" s="7">
        <v>5500</v>
      </c>
      <c r="I34" s="7">
        <v>4500</v>
      </c>
      <c r="J34" s="7">
        <v>3500</v>
      </c>
      <c r="K34" s="145"/>
    </row>
    <row r="35" spans="1:18" x14ac:dyDescent="0.2">
      <c r="A35" s="143"/>
      <c r="B35" s="133"/>
      <c r="C35" s="36" t="s">
        <v>47</v>
      </c>
      <c r="D35" s="31">
        <f>((D33-D34)*0.95)*2</f>
        <v>66167.5</v>
      </c>
      <c r="E35" s="31">
        <f t="shared" ref="E35:I35" si="19">((E33-E34)*0.95)*2</f>
        <v>75667.5</v>
      </c>
      <c r="F35" s="31">
        <f t="shared" si="19"/>
        <v>79467.5</v>
      </c>
      <c r="G35" s="31">
        <f t="shared" si="19"/>
        <v>83267.5</v>
      </c>
      <c r="H35" s="31">
        <f t="shared" si="19"/>
        <v>85167.5</v>
      </c>
      <c r="I35" s="31">
        <f t="shared" si="19"/>
        <v>87067.5</v>
      </c>
      <c r="J35" s="31">
        <f>((J33-J34)*0.95)*2</f>
        <v>88967.5</v>
      </c>
      <c r="K35" s="145"/>
      <c r="L35" s="24"/>
      <c r="M35" s="24"/>
      <c r="N35" s="24"/>
      <c r="O35" s="24"/>
      <c r="P35" s="24"/>
      <c r="Q35" s="24"/>
      <c r="R35" s="24"/>
    </row>
    <row r="36" spans="1:18" ht="17" thickBot="1" x14ac:dyDescent="0.25">
      <c r="A36" s="143"/>
      <c r="B36" s="133"/>
      <c r="C36" s="41" t="s">
        <v>48</v>
      </c>
      <c r="D36" s="31">
        <f>(D33-D34)</f>
        <v>34825</v>
      </c>
      <c r="E36" s="31">
        <f t="shared" ref="E36:J36" si="20">(E33-E34)</f>
        <v>39825</v>
      </c>
      <c r="F36" s="31">
        <f t="shared" si="20"/>
        <v>41825</v>
      </c>
      <c r="G36" s="31">
        <f t="shared" si="20"/>
        <v>43825</v>
      </c>
      <c r="H36" s="31">
        <f t="shared" si="20"/>
        <v>44825</v>
      </c>
      <c r="I36" s="31">
        <f t="shared" si="20"/>
        <v>45825</v>
      </c>
      <c r="J36" s="31">
        <f t="shared" si="20"/>
        <v>46825</v>
      </c>
      <c r="K36" s="145"/>
      <c r="L36" s="24"/>
      <c r="M36" s="24"/>
      <c r="N36" s="24"/>
      <c r="O36" s="24"/>
      <c r="P36" s="24"/>
      <c r="Q36" s="24"/>
      <c r="R36" s="24"/>
    </row>
    <row r="37" spans="1:18" x14ac:dyDescent="0.2">
      <c r="A37" s="143"/>
      <c r="B37" s="132" t="s">
        <v>39</v>
      </c>
      <c r="C37" s="4" t="s">
        <v>15</v>
      </c>
      <c r="D37" s="6">
        <f>D21*0.75</f>
        <v>51600</v>
      </c>
      <c r="E37" s="6">
        <f t="shared" ref="E37:H37" si="21">D37</f>
        <v>51600</v>
      </c>
      <c r="F37" s="6">
        <f t="shared" si="21"/>
        <v>51600</v>
      </c>
      <c r="G37" s="6">
        <f t="shared" si="21"/>
        <v>51600</v>
      </c>
      <c r="H37" s="7">
        <f t="shared" si="21"/>
        <v>51600</v>
      </c>
      <c r="I37" s="7">
        <f>H37</f>
        <v>51600</v>
      </c>
      <c r="J37" s="7">
        <f t="shared" ref="J37" si="22">I37</f>
        <v>51600</v>
      </c>
      <c r="K37" s="145"/>
    </row>
    <row r="38" spans="1:18" x14ac:dyDescent="0.2">
      <c r="A38" s="143"/>
      <c r="B38" s="133"/>
      <c r="C38" s="19" t="s">
        <v>11</v>
      </c>
      <c r="D38" s="6">
        <f t="shared" ref="D38:J38" si="23">D34</f>
        <v>15500</v>
      </c>
      <c r="E38" s="6">
        <f t="shared" si="23"/>
        <v>10500</v>
      </c>
      <c r="F38" s="6">
        <f t="shared" si="23"/>
        <v>8500</v>
      </c>
      <c r="G38" s="6">
        <f t="shared" si="23"/>
        <v>6500</v>
      </c>
      <c r="H38" s="7">
        <f t="shared" si="23"/>
        <v>5500</v>
      </c>
      <c r="I38" s="7">
        <f t="shared" si="23"/>
        <v>4500</v>
      </c>
      <c r="J38" s="7">
        <f t="shared" si="23"/>
        <v>3500</v>
      </c>
      <c r="K38" s="145"/>
    </row>
    <row r="39" spans="1:18" x14ac:dyDescent="0.2">
      <c r="A39" s="143"/>
      <c r="B39" s="133"/>
      <c r="C39" s="37" t="s">
        <v>47</v>
      </c>
      <c r="D39" s="32">
        <f>((D37-D38)*0.95)*2</f>
        <v>68590</v>
      </c>
      <c r="E39" s="32">
        <f t="shared" ref="E39:J39" si="24">((E37-E38)*0.95)*2</f>
        <v>78090</v>
      </c>
      <c r="F39" s="32">
        <f t="shared" si="24"/>
        <v>81890</v>
      </c>
      <c r="G39" s="32">
        <f t="shared" si="24"/>
        <v>85690</v>
      </c>
      <c r="H39" s="32">
        <f t="shared" si="24"/>
        <v>87590</v>
      </c>
      <c r="I39" s="32">
        <f t="shared" si="24"/>
        <v>89490</v>
      </c>
      <c r="J39" s="32">
        <f t="shared" si="24"/>
        <v>91390</v>
      </c>
      <c r="K39" s="145"/>
    </row>
    <row r="40" spans="1:18" ht="17" thickBot="1" x14ac:dyDescent="0.25">
      <c r="A40" s="143"/>
      <c r="B40" s="133"/>
      <c r="C40" s="39" t="s">
        <v>48</v>
      </c>
      <c r="D40" s="32">
        <f>(D37-D38)</f>
        <v>36100</v>
      </c>
      <c r="E40" s="32">
        <f t="shared" ref="E40:J40" si="25">(E37-E38)</f>
        <v>41100</v>
      </c>
      <c r="F40" s="32">
        <f t="shared" si="25"/>
        <v>43100</v>
      </c>
      <c r="G40" s="32">
        <f t="shared" si="25"/>
        <v>45100</v>
      </c>
      <c r="H40" s="32">
        <f t="shared" si="25"/>
        <v>46100</v>
      </c>
      <c r="I40" s="32">
        <f t="shared" si="25"/>
        <v>47100</v>
      </c>
      <c r="J40" s="32">
        <f t="shared" si="25"/>
        <v>48100</v>
      </c>
      <c r="K40" s="145"/>
    </row>
    <row r="41" spans="1:18" x14ac:dyDescent="0.2">
      <c r="A41" s="143"/>
      <c r="B41" s="132" t="s">
        <v>40</v>
      </c>
      <c r="C41" s="4" t="s">
        <v>15</v>
      </c>
      <c r="D41" s="6">
        <f>D37*1.05</f>
        <v>54180</v>
      </c>
      <c r="E41" s="6">
        <f t="shared" ref="E41:H41" si="26">D41</f>
        <v>54180</v>
      </c>
      <c r="F41" s="6">
        <f t="shared" si="26"/>
        <v>54180</v>
      </c>
      <c r="G41" s="6">
        <f t="shared" si="26"/>
        <v>54180</v>
      </c>
      <c r="H41" s="7">
        <f t="shared" si="26"/>
        <v>54180</v>
      </c>
      <c r="I41" s="7">
        <f>I37*1.05</f>
        <v>54180</v>
      </c>
      <c r="J41" s="7">
        <f t="shared" ref="J41" si="27">I41</f>
        <v>54180</v>
      </c>
      <c r="K41" s="145"/>
    </row>
    <row r="42" spans="1:18" x14ac:dyDescent="0.2">
      <c r="A42" s="143"/>
      <c r="B42" s="133"/>
      <c r="C42" s="19" t="s">
        <v>11</v>
      </c>
      <c r="D42" s="6">
        <f t="shared" ref="D42:J42" si="28">D38</f>
        <v>15500</v>
      </c>
      <c r="E42" s="6">
        <f t="shared" si="28"/>
        <v>10500</v>
      </c>
      <c r="F42" s="6">
        <f t="shared" si="28"/>
        <v>8500</v>
      </c>
      <c r="G42" s="6">
        <f t="shared" si="28"/>
        <v>6500</v>
      </c>
      <c r="H42" s="7">
        <f t="shared" si="28"/>
        <v>5500</v>
      </c>
      <c r="I42" s="7">
        <f t="shared" si="28"/>
        <v>4500</v>
      </c>
      <c r="J42" s="7">
        <f t="shared" si="28"/>
        <v>3500</v>
      </c>
      <c r="K42" s="145"/>
    </row>
    <row r="43" spans="1:18" x14ac:dyDescent="0.2">
      <c r="A43" s="143"/>
      <c r="B43" s="133"/>
      <c r="C43" s="38" t="s">
        <v>47</v>
      </c>
      <c r="D43" s="33">
        <f>((D41-D42)*0.95)*2</f>
        <v>73492</v>
      </c>
      <c r="E43" s="33">
        <f t="shared" ref="E43:J43" si="29">((E41-E42)*0.95)*2</f>
        <v>82992</v>
      </c>
      <c r="F43" s="33">
        <f t="shared" si="29"/>
        <v>86792</v>
      </c>
      <c r="G43" s="33">
        <f t="shared" si="29"/>
        <v>90592</v>
      </c>
      <c r="H43" s="33">
        <f t="shared" si="29"/>
        <v>92492</v>
      </c>
      <c r="I43" s="33">
        <f t="shared" si="29"/>
        <v>94392</v>
      </c>
      <c r="J43" s="33">
        <f t="shared" si="29"/>
        <v>96292</v>
      </c>
      <c r="K43" s="145"/>
    </row>
    <row r="44" spans="1:18" x14ac:dyDescent="0.2">
      <c r="A44" s="143"/>
      <c r="B44" s="133"/>
      <c r="C44" s="40" t="s">
        <v>48</v>
      </c>
      <c r="D44" s="33">
        <f>(D41-D42)</f>
        <v>38680</v>
      </c>
      <c r="E44" s="33">
        <f t="shared" ref="E44:J44" si="30">(E41-E42)</f>
        <v>43680</v>
      </c>
      <c r="F44" s="33">
        <f t="shared" si="30"/>
        <v>45680</v>
      </c>
      <c r="G44" s="33">
        <f t="shared" si="30"/>
        <v>47680</v>
      </c>
      <c r="H44" s="33">
        <f t="shared" si="30"/>
        <v>48680</v>
      </c>
      <c r="I44" s="33">
        <f t="shared" si="30"/>
        <v>49680</v>
      </c>
      <c r="J44" s="33">
        <f t="shared" si="30"/>
        <v>50680</v>
      </c>
      <c r="K44" s="145"/>
    </row>
    <row r="45" spans="1:18" x14ac:dyDescent="0.2">
      <c r="A45" s="164"/>
      <c r="B45" s="147" t="s">
        <v>13</v>
      </c>
      <c r="C45" s="148"/>
      <c r="D45" s="33">
        <f t="shared" ref="D45:J45" si="31">SUM(D35,D39,D43)</f>
        <v>208249.5</v>
      </c>
      <c r="E45" s="33">
        <f t="shared" si="31"/>
        <v>236749.5</v>
      </c>
      <c r="F45" s="33">
        <f t="shared" si="31"/>
        <v>248149.5</v>
      </c>
      <c r="G45" s="33">
        <f t="shared" si="31"/>
        <v>259549.5</v>
      </c>
      <c r="H45" s="33">
        <f t="shared" si="31"/>
        <v>265249.5</v>
      </c>
      <c r="I45" s="33">
        <f t="shared" si="31"/>
        <v>270949.5</v>
      </c>
      <c r="J45" s="33">
        <f t="shared" si="31"/>
        <v>276649.5</v>
      </c>
      <c r="K45" s="146"/>
    </row>
    <row r="46" spans="1:18" ht="16" customHeight="1" x14ac:dyDescent="0.2">
      <c r="A46" s="134" t="s">
        <v>16</v>
      </c>
      <c r="B46" s="134"/>
      <c r="C46" s="134"/>
      <c r="D46" s="134"/>
      <c r="E46" s="134"/>
      <c r="F46" s="134"/>
      <c r="G46" s="134"/>
      <c r="H46" s="134"/>
      <c r="I46" s="134"/>
      <c r="J46" s="134"/>
      <c r="K46" s="134"/>
    </row>
    <row r="47" spans="1:18" ht="16" customHeight="1" x14ac:dyDescent="0.2">
      <c r="A47" s="134"/>
      <c r="B47" s="134"/>
      <c r="C47" s="134"/>
      <c r="D47" s="134"/>
      <c r="E47" s="134"/>
      <c r="F47" s="134"/>
      <c r="G47" s="134"/>
      <c r="H47" s="134"/>
      <c r="I47" s="134"/>
      <c r="J47" s="134"/>
      <c r="K47" s="134"/>
    </row>
    <row r="48" spans="1:18" ht="17" customHeight="1" x14ac:dyDescent="0.2">
      <c r="A48" s="134"/>
      <c r="B48" s="134"/>
      <c r="C48" s="134"/>
      <c r="D48" s="134"/>
      <c r="E48" s="134"/>
      <c r="F48" s="134"/>
      <c r="G48" s="134"/>
      <c r="H48" s="134"/>
      <c r="I48" s="134"/>
      <c r="J48" s="134"/>
      <c r="K48" s="134"/>
    </row>
    <row r="49" spans="1:11" x14ac:dyDescent="0.2">
      <c r="A49" s="135" t="s">
        <v>17</v>
      </c>
      <c r="B49" s="136"/>
      <c r="C49" s="139" t="s">
        <v>18</v>
      </c>
      <c r="D49" s="139"/>
      <c r="E49" s="8">
        <v>5000</v>
      </c>
      <c r="F49" s="9"/>
      <c r="G49" s="10"/>
    </row>
    <row r="50" spans="1:11" ht="16" customHeight="1" x14ac:dyDescent="0.2">
      <c r="A50" s="135"/>
      <c r="B50" s="136"/>
      <c r="C50" s="116" t="s">
        <v>19</v>
      </c>
      <c r="D50" s="116"/>
      <c r="E50" s="11">
        <v>3000</v>
      </c>
      <c r="F50" s="9"/>
      <c r="G50" s="10"/>
    </row>
    <row r="51" spans="1:11" ht="16" customHeight="1" thickBot="1" x14ac:dyDescent="0.25">
      <c r="A51" s="137"/>
      <c r="B51" s="138"/>
      <c r="C51" s="118" t="s">
        <v>20</v>
      </c>
      <c r="D51" s="118"/>
      <c r="E51" s="11">
        <v>3000</v>
      </c>
      <c r="F51" s="12"/>
      <c r="G51" s="13"/>
    </row>
    <row r="52" spans="1:11" ht="33" customHeight="1" thickBot="1" x14ac:dyDescent="0.25">
      <c r="A52" s="14" t="s">
        <v>21</v>
      </c>
      <c r="B52" s="15" t="s">
        <v>22</v>
      </c>
      <c r="C52" s="16" t="s">
        <v>23</v>
      </c>
      <c r="D52" s="16" t="s">
        <v>24</v>
      </c>
      <c r="E52" s="16" t="s">
        <v>25</v>
      </c>
      <c r="F52" s="17" t="s">
        <v>26</v>
      </c>
      <c r="G52" s="15" t="s">
        <v>27</v>
      </c>
      <c r="H52" s="15" t="s">
        <v>28</v>
      </c>
      <c r="I52" s="15" t="s">
        <v>29</v>
      </c>
    </row>
    <row r="53" spans="1:11" ht="14.5" customHeight="1" thickBot="1" x14ac:dyDescent="0.25">
      <c r="A53" s="21" t="s">
        <v>30</v>
      </c>
      <c r="B53" s="18">
        <f>B54*2</f>
        <v>7000</v>
      </c>
      <c r="C53" s="18">
        <f t="shared" ref="C53:H53" si="32">C54*2</f>
        <v>5000</v>
      </c>
      <c r="D53" s="18">
        <v>1000</v>
      </c>
      <c r="E53" s="18">
        <f t="shared" si="32"/>
        <v>1500</v>
      </c>
      <c r="F53" s="18">
        <f t="shared" si="32"/>
        <v>1000</v>
      </c>
      <c r="G53" s="18">
        <f t="shared" si="32"/>
        <v>1000</v>
      </c>
      <c r="H53" s="18">
        <f t="shared" si="32"/>
        <v>2000</v>
      </c>
      <c r="I53" s="59">
        <f>SUM(B53:H53)</f>
        <v>18500</v>
      </c>
    </row>
    <row r="54" spans="1:11" ht="14.5" customHeight="1" thickBot="1" x14ac:dyDescent="0.25">
      <c r="A54" s="21" t="s">
        <v>31</v>
      </c>
      <c r="B54" s="18">
        <v>3500</v>
      </c>
      <c r="C54" s="18">
        <v>2500</v>
      </c>
      <c r="D54" s="65">
        <v>1000</v>
      </c>
      <c r="E54" s="65">
        <v>750</v>
      </c>
      <c r="F54" s="65">
        <v>500</v>
      </c>
      <c r="G54" s="18">
        <v>500</v>
      </c>
      <c r="H54" s="18">
        <v>1000</v>
      </c>
      <c r="I54" s="59">
        <f>SUM(B54:H54)</f>
        <v>9750</v>
      </c>
    </row>
    <row r="55" spans="1:11" ht="15" customHeight="1" x14ac:dyDescent="0.2">
      <c r="A55" s="141" t="s">
        <v>72</v>
      </c>
      <c r="B55" s="141"/>
      <c r="C55" s="141"/>
      <c r="D55" s="141"/>
      <c r="E55" s="141"/>
      <c r="F55" s="141"/>
      <c r="G55" s="141"/>
      <c r="H55" s="141"/>
      <c r="I55" s="141"/>
      <c r="J55" s="141"/>
      <c r="K55" s="67"/>
    </row>
    <row r="56" spans="1:11" ht="24" customHeight="1" x14ac:dyDescent="0.2">
      <c r="A56" s="140" t="s">
        <v>45</v>
      </c>
      <c r="B56" s="140"/>
      <c r="C56" s="140"/>
      <c r="D56" s="140"/>
      <c r="E56" s="140"/>
      <c r="F56" s="140"/>
      <c r="G56" s="140"/>
      <c r="H56" s="140"/>
      <c r="I56" s="140"/>
    </row>
    <row r="57" spans="1:11" ht="22" customHeight="1" x14ac:dyDescent="0.2">
      <c r="A57" s="140" t="s">
        <v>46</v>
      </c>
      <c r="B57" s="140"/>
      <c r="C57" s="140"/>
      <c r="D57" s="140"/>
      <c r="E57" s="140"/>
      <c r="F57" s="140"/>
      <c r="G57" s="140"/>
      <c r="H57" s="140"/>
      <c r="I57" s="140"/>
    </row>
    <row r="58" spans="1:11" ht="34" customHeight="1" x14ac:dyDescent="0.2">
      <c r="A58" s="141" t="s">
        <v>43</v>
      </c>
      <c r="B58" s="141"/>
      <c r="C58" s="141"/>
      <c r="D58" s="141"/>
      <c r="E58" s="141"/>
      <c r="F58" s="141"/>
      <c r="G58" s="141"/>
      <c r="H58" s="141"/>
      <c r="I58" s="141"/>
    </row>
    <row r="59" spans="1:11" x14ac:dyDescent="0.2">
      <c r="A59" s="140" t="s">
        <v>32</v>
      </c>
      <c r="B59" s="140"/>
      <c r="C59" s="140"/>
      <c r="D59" s="140"/>
      <c r="E59" s="140"/>
      <c r="F59" s="140"/>
      <c r="G59" s="140"/>
      <c r="H59" s="140"/>
      <c r="I59" s="140"/>
    </row>
    <row r="60" spans="1:11" ht="28" customHeight="1" x14ac:dyDescent="0.2">
      <c r="A60" s="129" t="s">
        <v>96</v>
      </c>
      <c r="B60" s="130"/>
      <c r="C60" s="130"/>
      <c r="D60" s="130"/>
      <c r="E60" s="130"/>
      <c r="F60" s="130"/>
      <c r="G60" s="130"/>
      <c r="H60" s="130"/>
      <c r="I60" s="131"/>
    </row>
    <row r="61" spans="1:11" ht="13.5" customHeight="1" x14ac:dyDescent="0.2"/>
    <row r="63" spans="1:11" ht="28.75" customHeight="1" x14ac:dyDescent="0.2"/>
    <row r="64" spans="1:11" ht="39" customHeight="1" x14ac:dyDescent="0.2"/>
  </sheetData>
  <mergeCells count="24">
    <mergeCell ref="A46:K48"/>
    <mergeCell ref="A1:K10"/>
    <mergeCell ref="A11:K14"/>
    <mergeCell ref="A15:A31"/>
    <mergeCell ref="K15:K45"/>
    <mergeCell ref="B16:B20"/>
    <mergeCell ref="B21:B25"/>
    <mergeCell ref="B26:B30"/>
    <mergeCell ref="B31:C31"/>
    <mergeCell ref="A33:A45"/>
    <mergeCell ref="B33:B36"/>
    <mergeCell ref="B37:B40"/>
    <mergeCell ref="B41:B44"/>
    <mergeCell ref="B45:C45"/>
    <mergeCell ref="A57:I57"/>
    <mergeCell ref="A58:I58"/>
    <mergeCell ref="A59:I59"/>
    <mergeCell ref="A60:I60"/>
    <mergeCell ref="A49:B51"/>
    <mergeCell ref="C49:D49"/>
    <mergeCell ref="C50:D50"/>
    <mergeCell ref="C51:D51"/>
    <mergeCell ref="A56:I56"/>
    <mergeCell ref="A55:J55"/>
  </mergeCells>
  <pageMargins left="0.7" right="0.7" top="0.75" bottom="0.75" header="0.3" footer="0.3"/>
  <pageSetup paperSize="9" scale="4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F2322-6636-EA47-9CE5-FE7D17E33609}">
  <sheetPr>
    <pageSetUpPr fitToPage="1"/>
  </sheetPr>
  <dimension ref="A1:AB72"/>
  <sheetViews>
    <sheetView topLeftCell="A4" zoomScale="86" workbookViewId="0">
      <selection activeCell="J41" sqref="J41"/>
    </sheetView>
  </sheetViews>
  <sheetFormatPr baseColWidth="10" defaultColWidth="8.83203125" defaultRowHeight="16" x14ac:dyDescent="0.2"/>
  <cols>
    <col min="1" max="1" width="17.33203125" customWidth="1"/>
    <col min="2" max="2" width="23" bestFit="1" customWidth="1"/>
    <col min="3" max="3" width="41.1640625" bestFit="1" customWidth="1"/>
    <col min="4" max="4" width="16.83203125" customWidth="1"/>
    <col min="5" max="5" width="15.1640625" customWidth="1"/>
    <col min="6" max="6" width="14.83203125" customWidth="1"/>
    <col min="7" max="7" width="18.1640625" customWidth="1"/>
    <col min="8" max="12" width="16.6640625" customWidth="1"/>
  </cols>
  <sheetData>
    <row r="1" spans="1:17" x14ac:dyDescent="0.2">
      <c r="A1" s="119"/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7" x14ac:dyDescent="0.2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</row>
    <row r="3" spans="1:17" x14ac:dyDescent="0.2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</row>
    <row r="4" spans="1:17" x14ac:dyDescent="0.2">
      <c r="A4" s="119"/>
      <c r="B4" s="119"/>
      <c r="C4" s="119"/>
      <c r="D4" s="119"/>
      <c r="E4" s="119"/>
      <c r="F4" s="119"/>
      <c r="G4" s="119"/>
      <c r="H4" s="119"/>
      <c r="I4" s="119"/>
      <c r="J4" s="119"/>
      <c r="K4" s="119"/>
    </row>
    <row r="5" spans="1:17" x14ac:dyDescent="0.2">
      <c r="A5" s="119"/>
      <c r="B5" s="119"/>
      <c r="C5" s="119"/>
      <c r="D5" s="119"/>
      <c r="E5" s="119"/>
      <c r="F5" s="119"/>
      <c r="G5" s="119"/>
      <c r="H5" s="119"/>
      <c r="I5" s="119"/>
      <c r="J5" s="119"/>
      <c r="K5" s="119"/>
    </row>
    <row r="6" spans="1:17" x14ac:dyDescent="0.2">
      <c r="A6" s="119"/>
      <c r="B6" s="119"/>
      <c r="C6" s="119"/>
      <c r="D6" s="119"/>
      <c r="E6" s="119"/>
      <c r="F6" s="119"/>
      <c r="G6" s="119"/>
      <c r="H6" s="119"/>
      <c r="I6" s="119"/>
      <c r="J6" s="119"/>
      <c r="K6" s="119"/>
    </row>
    <row r="7" spans="1:17" x14ac:dyDescent="0.2">
      <c r="A7" s="119"/>
      <c r="B7" s="119"/>
      <c r="C7" s="119"/>
      <c r="D7" s="119"/>
      <c r="E7" s="119"/>
      <c r="F7" s="119"/>
      <c r="G7" s="119"/>
      <c r="H7" s="119"/>
      <c r="I7" s="119"/>
      <c r="J7" s="119"/>
      <c r="K7" s="119"/>
    </row>
    <row r="8" spans="1:17" x14ac:dyDescent="0.2">
      <c r="A8" s="119"/>
      <c r="B8" s="119"/>
      <c r="C8" s="119"/>
      <c r="D8" s="119"/>
      <c r="E8" s="119"/>
      <c r="F8" s="119"/>
      <c r="G8" s="119"/>
      <c r="H8" s="119"/>
      <c r="I8" s="119"/>
      <c r="J8" s="119"/>
      <c r="K8" s="119"/>
    </row>
    <row r="9" spans="1:17" x14ac:dyDescent="0.2">
      <c r="A9" s="119"/>
      <c r="B9" s="119"/>
      <c r="C9" s="119"/>
      <c r="D9" s="119"/>
      <c r="E9" s="119"/>
      <c r="F9" s="119"/>
      <c r="G9" s="119"/>
      <c r="H9" s="119"/>
      <c r="I9" s="119"/>
      <c r="J9" s="119"/>
      <c r="K9" s="119"/>
    </row>
    <row r="10" spans="1:17" x14ac:dyDescent="0.2">
      <c r="A10" s="119"/>
      <c r="B10" s="119"/>
      <c r="C10" s="119"/>
      <c r="D10" s="119"/>
      <c r="E10" s="119"/>
      <c r="F10" s="119"/>
      <c r="G10" s="119"/>
      <c r="H10" s="119"/>
      <c r="I10" s="119"/>
      <c r="J10" s="119"/>
      <c r="K10" s="119"/>
    </row>
    <row r="11" spans="1:17" ht="14.5" customHeight="1" x14ac:dyDescent="0.2">
      <c r="A11" s="151" t="s">
        <v>82</v>
      </c>
      <c r="B11" s="152"/>
      <c r="C11" s="152"/>
      <c r="D11" s="152"/>
      <c r="E11" s="152"/>
      <c r="F11" s="152"/>
      <c r="G11" s="152"/>
      <c r="H11" s="152"/>
      <c r="I11" s="152"/>
      <c r="J11" s="152"/>
      <c r="K11" s="152"/>
    </row>
    <row r="12" spans="1:17" ht="14.5" customHeight="1" x14ac:dyDescent="0.2">
      <c r="A12" s="154"/>
      <c r="B12" s="155"/>
      <c r="C12" s="155"/>
      <c r="D12" s="155"/>
      <c r="E12" s="155"/>
      <c r="F12" s="155"/>
      <c r="G12" s="155"/>
      <c r="H12" s="155"/>
      <c r="I12" s="155"/>
      <c r="J12" s="155"/>
      <c r="K12" s="155"/>
    </row>
    <row r="13" spans="1:17" ht="14.5" customHeight="1" x14ac:dyDescent="0.2">
      <c r="A13" s="154"/>
      <c r="B13" s="155"/>
      <c r="C13" s="155"/>
      <c r="D13" s="155"/>
      <c r="E13" s="155"/>
      <c r="F13" s="155"/>
      <c r="G13" s="155"/>
      <c r="H13" s="155"/>
      <c r="I13" s="155"/>
      <c r="J13" s="155"/>
      <c r="K13" s="155"/>
    </row>
    <row r="14" spans="1:17" ht="44.25" customHeight="1" x14ac:dyDescent="0.2">
      <c r="A14" s="157"/>
      <c r="B14" s="158"/>
      <c r="C14" s="158"/>
      <c r="D14" s="158"/>
      <c r="E14" s="158"/>
      <c r="F14" s="158"/>
      <c r="G14" s="158"/>
      <c r="H14" s="158"/>
      <c r="I14" s="158"/>
      <c r="J14" s="158"/>
      <c r="K14" s="158"/>
    </row>
    <row r="15" spans="1:17" ht="64" customHeight="1" thickBot="1" x14ac:dyDescent="0.25">
      <c r="A15" s="144" t="s">
        <v>0</v>
      </c>
      <c r="B15" s="68" t="s">
        <v>1</v>
      </c>
      <c r="C15" s="63" t="s">
        <v>2</v>
      </c>
      <c r="D15" s="69" t="s">
        <v>64</v>
      </c>
      <c r="E15" s="62" t="s">
        <v>65</v>
      </c>
      <c r="F15" s="62" t="s">
        <v>66</v>
      </c>
      <c r="G15" s="62" t="s">
        <v>67</v>
      </c>
      <c r="H15" s="62" t="s">
        <v>68</v>
      </c>
      <c r="I15" s="62" t="s">
        <v>69</v>
      </c>
      <c r="J15" s="62" t="s">
        <v>70</v>
      </c>
      <c r="K15" s="144" t="s">
        <v>9</v>
      </c>
    </row>
    <row r="16" spans="1:17" x14ac:dyDescent="0.2">
      <c r="A16" s="145"/>
      <c r="B16" s="132" t="s">
        <v>38</v>
      </c>
      <c r="C16" s="66" t="s">
        <v>10</v>
      </c>
      <c r="D16" s="6">
        <v>67100</v>
      </c>
      <c r="E16" s="6">
        <f>D16</f>
        <v>67100</v>
      </c>
      <c r="F16" s="6">
        <f t="shared" ref="F16:H16" si="0">E16</f>
        <v>67100</v>
      </c>
      <c r="G16" s="7">
        <f t="shared" si="0"/>
        <v>67100</v>
      </c>
      <c r="H16" s="7">
        <f t="shared" si="0"/>
        <v>67100</v>
      </c>
      <c r="I16" s="7">
        <f>H16</f>
        <v>67100</v>
      </c>
      <c r="J16" s="7">
        <f>I16</f>
        <v>67100</v>
      </c>
      <c r="K16" s="145"/>
      <c r="L16" s="24"/>
      <c r="M16" s="24"/>
      <c r="N16" s="24"/>
      <c r="O16" s="24"/>
      <c r="P16" s="24"/>
      <c r="Q16" s="24"/>
    </row>
    <row r="17" spans="1:28" x14ac:dyDescent="0.2">
      <c r="A17" s="145"/>
      <c r="B17" s="133"/>
      <c r="C17" s="34" t="s">
        <v>11</v>
      </c>
      <c r="D17" s="6">
        <v>15500</v>
      </c>
      <c r="E17" s="6">
        <v>10500</v>
      </c>
      <c r="F17" s="6">
        <v>8500</v>
      </c>
      <c r="G17" s="7">
        <v>6500</v>
      </c>
      <c r="H17" s="7">
        <v>5500</v>
      </c>
      <c r="I17" s="7">
        <v>4500</v>
      </c>
      <c r="J17" s="7">
        <v>3500</v>
      </c>
      <c r="K17" s="145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 spans="1:28" x14ac:dyDescent="0.2">
      <c r="A18" s="145"/>
      <c r="B18" s="133"/>
      <c r="C18" s="36" t="s">
        <v>44</v>
      </c>
      <c r="D18" s="31">
        <v>13500</v>
      </c>
      <c r="E18" s="31">
        <f>D18</f>
        <v>13500</v>
      </c>
      <c r="F18" s="31">
        <f t="shared" ref="F18:J18" si="1">E18</f>
        <v>13500</v>
      </c>
      <c r="G18" s="31">
        <f t="shared" si="1"/>
        <v>13500</v>
      </c>
      <c r="H18" s="31">
        <f t="shared" si="1"/>
        <v>13500</v>
      </c>
      <c r="I18" s="31">
        <f t="shared" si="1"/>
        <v>13500</v>
      </c>
      <c r="J18" s="31">
        <f t="shared" si="1"/>
        <v>13500</v>
      </c>
      <c r="K18" s="145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</row>
    <row r="19" spans="1:28" x14ac:dyDescent="0.2">
      <c r="A19" s="145"/>
      <c r="B19" s="133"/>
      <c r="C19" s="36" t="s">
        <v>47</v>
      </c>
      <c r="D19" s="31">
        <f>(((D16-D17)*0.95)*2)-D18*2</f>
        <v>71040</v>
      </c>
      <c r="E19" s="31">
        <f t="shared" ref="E19:J19" si="2">(((E16-E17)*0.95)*2)-E18*2</f>
        <v>80540</v>
      </c>
      <c r="F19" s="31">
        <f t="shared" si="2"/>
        <v>84340</v>
      </c>
      <c r="G19" s="31">
        <f t="shared" si="2"/>
        <v>88140</v>
      </c>
      <c r="H19" s="31">
        <f t="shared" si="2"/>
        <v>90040</v>
      </c>
      <c r="I19" s="31">
        <f t="shared" si="2"/>
        <v>91940</v>
      </c>
      <c r="J19" s="31">
        <f t="shared" si="2"/>
        <v>93840</v>
      </c>
      <c r="K19" s="145"/>
      <c r="L19" s="24"/>
      <c r="M19" s="24"/>
      <c r="N19" s="24"/>
      <c r="O19" s="24"/>
      <c r="P19" s="24"/>
      <c r="Q19" s="24"/>
    </row>
    <row r="20" spans="1:28" ht="17" thickBot="1" x14ac:dyDescent="0.25">
      <c r="A20" s="145"/>
      <c r="B20" s="133"/>
      <c r="C20" s="36" t="s">
        <v>48</v>
      </c>
      <c r="D20" s="31">
        <f>(D16-D17)-D18</f>
        <v>38100</v>
      </c>
      <c r="E20" s="31">
        <f t="shared" ref="E20:J20" si="3">(E16-E17)-E18</f>
        <v>43100</v>
      </c>
      <c r="F20" s="31">
        <f t="shared" si="3"/>
        <v>45100</v>
      </c>
      <c r="G20" s="31">
        <f t="shared" si="3"/>
        <v>47100</v>
      </c>
      <c r="H20" s="31">
        <f t="shared" si="3"/>
        <v>48100</v>
      </c>
      <c r="I20" s="31">
        <f t="shared" si="3"/>
        <v>49100</v>
      </c>
      <c r="J20" s="31">
        <f t="shared" si="3"/>
        <v>50100</v>
      </c>
      <c r="K20" s="145"/>
      <c r="L20" s="24"/>
      <c r="M20" s="24"/>
      <c r="N20" s="24"/>
      <c r="O20" s="24"/>
      <c r="P20" s="24"/>
      <c r="Q20" s="24"/>
      <c r="R20" s="24"/>
    </row>
    <row r="21" spans="1:28" ht="16" customHeight="1" x14ac:dyDescent="0.2">
      <c r="A21" s="145"/>
      <c r="B21" s="132" t="s">
        <v>39</v>
      </c>
      <c r="C21" s="34" t="s">
        <v>12</v>
      </c>
      <c r="D21" s="6">
        <v>68800</v>
      </c>
      <c r="E21" s="6">
        <f t="shared" ref="E21:H21" si="4">D21</f>
        <v>68800</v>
      </c>
      <c r="F21" s="6">
        <f t="shared" si="4"/>
        <v>68800</v>
      </c>
      <c r="G21" s="7">
        <f t="shared" si="4"/>
        <v>68800</v>
      </c>
      <c r="H21" s="7">
        <f t="shared" si="4"/>
        <v>68800</v>
      </c>
      <c r="I21" s="7">
        <f>H21</f>
        <v>68800</v>
      </c>
      <c r="J21" s="7">
        <f t="shared" ref="J21" si="5">I21</f>
        <v>68800</v>
      </c>
      <c r="K21" s="145"/>
    </row>
    <row r="22" spans="1:28" x14ac:dyDescent="0.2">
      <c r="A22" s="145"/>
      <c r="B22" s="133"/>
      <c r="C22" s="34" t="s">
        <v>11</v>
      </c>
      <c r="D22" s="6">
        <f t="shared" ref="D22:J22" si="6">D17</f>
        <v>15500</v>
      </c>
      <c r="E22" s="6">
        <f t="shared" si="6"/>
        <v>10500</v>
      </c>
      <c r="F22" s="6">
        <f t="shared" si="6"/>
        <v>8500</v>
      </c>
      <c r="G22" s="7">
        <f t="shared" si="6"/>
        <v>6500</v>
      </c>
      <c r="H22" s="7">
        <f t="shared" si="6"/>
        <v>5500</v>
      </c>
      <c r="I22" s="7">
        <f t="shared" si="6"/>
        <v>4500</v>
      </c>
      <c r="J22" s="7">
        <f t="shared" si="6"/>
        <v>3500</v>
      </c>
      <c r="K22" s="145"/>
    </row>
    <row r="23" spans="1:28" x14ac:dyDescent="0.2">
      <c r="A23" s="145"/>
      <c r="B23" s="133"/>
      <c r="C23" s="37" t="s">
        <v>44</v>
      </c>
      <c r="D23" s="32">
        <f>D18</f>
        <v>13500</v>
      </c>
      <c r="E23" s="32">
        <f>D23</f>
        <v>13500</v>
      </c>
      <c r="F23" s="32">
        <f t="shared" ref="F23:J23" si="7">E23</f>
        <v>13500</v>
      </c>
      <c r="G23" s="32">
        <f t="shared" si="7"/>
        <v>13500</v>
      </c>
      <c r="H23" s="32">
        <f t="shared" si="7"/>
        <v>13500</v>
      </c>
      <c r="I23" s="32">
        <f t="shared" si="7"/>
        <v>13500</v>
      </c>
      <c r="J23" s="32">
        <f t="shared" si="7"/>
        <v>13500</v>
      </c>
      <c r="K23" s="145"/>
    </row>
    <row r="24" spans="1:28" x14ac:dyDescent="0.2">
      <c r="A24" s="145"/>
      <c r="B24" s="133"/>
      <c r="C24" s="37" t="s">
        <v>47</v>
      </c>
      <c r="D24" s="32">
        <f>(((D21-D22)*0.95)*2)-D23*2</f>
        <v>74270</v>
      </c>
      <c r="E24" s="32">
        <f t="shared" ref="E24:J24" si="8">(((E21-E22)*0.95)*2)-E23*2</f>
        <v>83770</v>
      </c>
      <c r="F24" s="32">
        <f t="shared" si="8"/>
        <v>87570</v>
      </c>
      <c r="G24" s="32">
        <f t="shared" si="8"/>
        <v>91370</v>
      </c>
      <c r="H24" s="32">
        <f t="shared" si="8"/>
        <v>93270</v>
      </c>
      <c r="I24" s="32">
        <f t="shared" si="8"/>
        <v>95170</v>
      </c>
      <c r="J24" s="32">
        <f t="shared" si="8"/>
        <v>97070</v>
      </c>
      <c r="K24" s="145"/>
    </row>
    <row r="25" spans="1:28" ht="17" thickBot="1" x14ac:dyDescent="0.25">
      <c r="A25" s="145"/>
      <c r="B25" s="133"/>
      <c r="C25" s="37" t="s">
        <v>48</v>
      </c>
      <c r="D25" s="32">
        <f>(D21-D22)-D23</f>
        <v>39800</v>
      </c>
      <c r="E25" s="32">
        <f t="shared" ref="E25:J25" si="9">(E21-E22)-E23</f>
        <v>44800</v>
      </c>
      <c r="F25" s="32">
        <f t="shared" si="9"/>
        <v>46800</v>
      </c>
      <c r="G25" s="32">
        <f t="shared" si="9"/>
        <v>48800</v>
      </c>
      <c r="H25" s="32">
        <f t="shared" si="9"/>
        <v>49800</v>
      </c>
      <c r="I25" s="32">
        <f t="shared" si="9"/>
        <v>50800</v>
      </c>
      <c r="J25" s="32">
        <f t="shared" si="9"/>
        <v>51800</v>
      </c>
      <c r="K25" s="145"/>
    </row>
    <row r="26" spans="1:28" x14ac:dyDescent="0.2">
      <c r="A26" s="145"/>
      <c r="B26" s="132" t="s">
        <v>40</v>
      </c>
      <c r="C26" s="34" t="s">
        <v>12</v>
      </c>
      <c r="D26" s="6">
        <f>D21*1.05</f>
        <v>72240</v>
      </c>
      <c r="E26" s="6">
        <f t="shared" ref="E26:H26" si="10">D26</f>
        <v>72240</v>
      </c>
      <c r="F26" s="6">
        <f t="shared" si="10"/>
        <v>72240</v>
      </c>
      <c r="G26" s="7">
        <f t="shared" si="10"/>
        <v>72240</v>
      </c>
      <c r="H26" s="7">
        <f t="shared" si="10"/>
        <v>72240</v>
      </c>
      <c r="I26" s="7">
        <f>I21*1.05</f>
        <v>72240</v>
      </c>
      <c r="J26" s="7">
        <f t="shared" ref="J26" si="11">I26</f>
        <v>72240</v>
      </c>
      <c r="K26" s="145"/>
    </row>
    <row r="27" spans="1:28" x14ac:dyDescent="0.2">
      <c r="A27" s="145"/>
      <c r="B27" s="133"/>
      <c r="C27" s="34" t="s">
        <v>11</v>
      </c>
      <c r="D27" s="6">
        <f t="shared" ref="D27:J27" si="12">D22</f>
        <v>15500</v>
      </c>
      <c r="E27" s="6">
        <f t="shared" si="12"/>
        <v>10500</v>
      </c>
      <c r="F27" s="6">
        <f t="shared" si="12"/>
        <v>8500</v>
      </c>
      <c r="G27" s="7">
        <f t="shared" si="12"/>
        <v>6500</v>
      </c>
      <c r="H27" s="7">
        <f t="shared" si="12"/>
        <v>5500</v>
      </c>
      <c r="I27" s="7">
        <f t="shared" si="12"/>
        <v>4500</v>
      </c>
      <c r="J27" s="7">
        <f t="shared" si="12"/>
        <v>3500</v>
      </c>
      <c r="K27" s="145"/>
    </row>
    <row r="28" spans="1:28" x14ac:dyDescent="0.2">
      <c r="A28" s="145"/>
      <c r="B28" s="133"/>
      <c r="C28" s="38" t="s">
        <v>44</v>
      </c>
      <c r="D28" s="33">
        <f>D23</f>
        <v>13500</v>
      </c>
      <c r="E28" s="33">
        <f>D28</f>
        <v>13500</v>
      </c>
      <c r="F28" s="33">
        <f t="shared" ref="F28:J28" si="13">E28</f>
        <v>13500</v>
      </c>
      <c r="G28" s="33">
        <f t="shared" si="13"/>
        <v>13500</v>
      </c>
      <c r="H28" s="33">
        <f t="shared" si="13"/>
        <v>13500</v>
      </c>
      <c r="I28" s="33">
        <f t="shared" si="13"/>
        <v>13500</v>
      </c>
      <c r="J28" s="33">
        <f t="shared" si="13"/>
        <v>13500</v>
      </c>
      <c r="K28" s="145"/>
    </row>
    <row r="29" spans="1:28" x14ac:dyDescent="0.2">
      <c r="A29" s="145"/>
      <c r="B29" s="133"/>
      <c r="C29" s="38" t="s">
        <v>47</v>
      </c>
      <c r="D29" s="33">
        <f>(((D26-D27)*0.95)*2)-D28*2</f>
        <v>80806</v>
      </c>
      <c r="E29" s="33">
        <f t="shared" ref="E29:J29" si="14">(((E26-E27)*0.95)*2)-E28*2</f>
        <v>90306</v>
      </c>
      <c r="F29" s="33">
        <f t="shared" si="14"/>
        <v>94106</v>
      </c>
      <c r="G29" s="33">
        <f t="shared" si="14"/>
        <v>97906</v>
      </c>
      <c r="H29" s="33">
        <f t="shared" si="14"/>
        <v>99806</v>
      </c>
      <c r="I29" s="33">
        <f t="shared" si="14"/>
        <v>101706</v>
      </c>
      <c r="J29" s="33">
        <f t="shared" si="14"/>
        <v>103606</v>
      </c>
      <c r="K29" s="145"/>
    </row>
    <row r="30" spans="1:28" ht="17" thickBot="1" x14ac:dyDescent="0.25">
      <c r="A30" s="145"/>
      <c r="B30" s="133"/>
      <c r="C30" s="38" t="s">
        <v>48</v>
      </c>
      <c r="D30" s="33">
        <f>(D26-D27)-D28</f>
        <v>43240</v>
      </c>
      <c r="E30" s="33">
        <f t="shared" ref="E30:I30" si="15">(E26-E27)-E28</f>
        <v>48240</v>
      </c>
      <c r="F30" s="33">
        <f t="shared" si="15"/>
        <v>50240</v>
      </c>
      <c r="G30" s="33">
        <f t="shared" si="15"/>
        <v>52240</v>
      </c>
      <c r="H30" s="33">
        <f t="shared" si="15"/>
        <v>53240</v>
      </c>
      <c r="I30" s="33">
        <f t="shared" si="15"/>
        <v>54240</v>
      </c>
      <c r="J30" s="33">
        <f>(J26-J27)-J28</f>
        <v>55240</v>
      </c>
      <c r="K30" s="145"/>
    </row>
    <row r="31" spans="1:28" x14ac:dyDescent="0.2">
      <c r="A31" s="145"/>
      <c r="B31" s="132" t="s">
        <v>41</v>
      </c>
      <c r="C31" s="34" t="s">
        <v>12</v>
      </c>
      <c r="D31" s="6">
        <f>D26*1.05</f>
        <v>75852</v>
      </c>
      <c r="E31" s="6">
        <f t="shared" ref="E31" si="16">D31</f>
        <v>75852</v>
      </c>
      <c r="F31" s="6">
        <f t="shared" ref="F31" si="17">E31</f>
        <v>75852</v>
      </c>
      <c r="G31" s="7">
        <f t="shared" ref="G31" si="18">F31</f>
        <v>75852</v>
      </c>
      <c r="H31" s="7">
        <f t="shared" ref="H31" si="19">G31</f>
        <v>75852</v>
      </c>
      <c r="I31" s="7">
        <f>I26*1.05</f>
        <v>75852</v>
      </c>
      <c r="J31" s="7">
        <f t="shared" ref="J31" si="20">I31</f>
        <v>75852</v>
      </c>
      <c r="K31" s="145"/>
    </row>
    <row r="32" spans="1:28" x14ac:dyDescent="0.2">
      <c r="A32" s="145"/>
      <c r="B32" s="133"/>
      <c r="C32" s="34" t="s">
        <v>11</v>
      </c>
      <c r="D32" s="6">
        <f t="shared" ref="D32:J32" si="21">D27</f>
        <v>15500</v>
      </c>
      <c r="E32" s="6">
        <f t="shared" si="21"/>
        <v>10500</v>
      </c>
      <c r="F32" s="6">
        <f t="shared" si="21"/>
        <v>8500</v>
      </c>
      <c r="G32" s="7">
        <f t="shared" si="21"/>
        <v>6500</v>
      </c>
      <c r="H32" s="7">
        <f t="shared" si="21"/>
        <v>5500</v>
      </c>
      <c r="I32" s="7">
        <f t="shared" si="21"/>
        <v>4500</v>
      </c>
      <c r="J32" s="7">
        <f t="shared" si="21"/>
        <v>3500</v>
      </c>
      <c r="K32" s="145"/>
    </row>
    <row r="33" spans="1:18" x14ac:dyDescent="0.2">
      <c r="A33" s="145"/>
      <c r="B33" s="133"/>
      <c r="C33" s="38" t="s">
        <v>44</v>
      </c>
      <c r="D33" s="33">
        <f>D28</f>
        <v>13500</v>
      </c>
      <c r="E33" s="33">
        <f>D33</f>
        <v>13500</v>
      </c>
      <c r="F33" s="33">
        <f t="shared" ref="F33" si="22">E33</f>
        <v>13500</v>
      </c>
      <c r="G33" s="33">
        <f t="shared" ref="G33" si="23">F33</f>
        <v>13500</v>
      </c>
      <c r="H33" s="33">
        <f t="shared" ref="H33" si="24">G33</f>
        <v>13500</v>
      </c>
      <c r="I33" s="33">
        <f t="shared" ref="I33" si="25">H33</f>
        <v>13500</v>
      </c>
      <c r="J33" s="33">
        <f t="shared" ref="J33" si="26">I33</f>
        <v>13500</v>
      </c>
      <c r="K33" s="145"/>
    </row>
    <row r="34" spans="1:18" x14ac:dyDescent="0.2">
      <c r="A34" s="145"/>
      <c r="B34" s="133"/>
      <c r="C34" s="38" t="s">
        <v>47</v>
      </c>
      <c r="D34" s="33">
        <f>(((D31-D32)*0.95)*2)-D33*2</f>
        <v>87668.799999999988</v>
      </c>
      <c r="E34" s="33">
        <f t="shared" ref="E34:J34" si="27">(((E31-E32)*0.95)*2)-E33*2</f>
        <v>97168.799999999988</v>
      </c>
      <c r="F34" s="33">
        <f t="shared" si="27"/>
        <v>100968.79999999999</v>
      </c>
      <c r="G34" s="33">
        <f t="shared" si="27"/>
        <v>104768.79999999999</v>
      </c>
      <c r="H34" s="33">
        <f t="shared" si="27"/>
        <v>106668.79999999999</v>
      </c>
      <c r="I34" s="33">
        <f t="shared" si="27"/>
        <v>108568.79999999999</v>
      </c>
      <c r="J34" s="33">
        <f t="shared" si="27"/>
        <v>110468.79999999999</v>
      </c>
      <c r="K34" s="145"/>
    </row>
    <row r="35" spans="1:18" x14ac:dyDescent="0.2">
      <c r="A35" s="145"/>
      <c r="B35" s="133"/>
      <c r="C35" s="38" t="s">
        <v>48</v>
      </c>
      <c r="D35" s="33">
        <f>(D31-D32)-D33</f>
        <v>46852</v>
      </c>
      <c r="E35" s="33">
        <f t="shared" ref="E35:J35" si="28">(E31-E32)-E33</f>
        <v>51852</v>
      </c>
      <c r="F35" s="33">
        <f t="shared" si="28"/>
        <v>53852</v>
      </c>
      <c r="G35" s="33">
        <f t="shared" si="28"/>
        <v>55852</v>
      </c>
      <c r="H35" s="33">
        <f t="shared" si="28"/>
        <v>56852</v>
      </c>
      <c r="I35" s="33">
        <f t="shared" si="28"/>
        <v>57852</v>
      </c>
      <c r="J35" s="33">
        <f t="shared" si="28"/>
        <v>58852</v>
      </c>
      <c r="K35" s="145"/>
    </row>
    <row r="36" spans="1:18" x14ac:dyDescent="0.2">
      <c r="A36" s="146"/>
      <c r="B36" s="149" t="s">
        <v>13</v>
      </c>
      <c r="C36" s="150"/>
      <c r="D36" s="33">
        <f>SUM(D19,D24,D29,D34)</f>
        <v>313784.8</v>
      </c>
      <c r="E36" s="33">
        <f t="shared" ref="E36:J36" si="29">SUM(E19,E24,E29,E34)</f>
        <v>351784.8</v>
      </c>
      <c r="F36" s="33">
        <f t="shared" si="29"/>
        <v>366984.8</v>
      </c>
      <c r="G36" s="33">
        <f t="shared" si="29"/>
        <v>382184.8</v>
      </c>
      <c r="H36" s="33">
        <f t="shared" si="29"/>
        <v>389784.8</v>
      </c>
      <c r="I36" s="33">
        <f t="shared" si="29"/>
        <v>397384.8</v>
      </c>
      <c r="J36" s="33">
        <f t="shared" si="29"/>
        <v>404984.8</v>
      </c>
      <c r="K36" s="145"/>
    </row>
    <row r="37" spans="1:18" ht="17" thickBot="1" x14ac:dyDescent="0.25">
      <c r="K37" s="145"/>
      <c r="L37" s="24"/>
      <c r="M37" s="24"/>
      <c r="N37" s="24"/>
      <c r="O37" s="24"/>
      <c r="P37" s="24"/>
      <c r="Q37" s="24"/>
    </row>
    <row r="38" spans="1:18" ht="24" customHeight="1" x14ac:dyDescent="0.2">
      <c r="A38" s="142" t="s">
        <v>14</v>
      </c>
      <c r="B38" s="132" t="s">
        <v>38</v>
      </c>
      <c r="C38" s="19" t="s">
        <v>15</v>
      </c>
      <c r="D38" s="6">
        <f>D16*0.75</f>
        <v>50325</v>
      </c>
      <c r="E38" s="6">
        <f t="shared" ref="E38:H38" si="30">D38</f>
        <v>50325</v>
      </c>
      <c r="F38" s="6">
        <f t="shared" si="30"/>
        <v>50325</v>
      </c>
      <c r="G38" s="6">
        <f t="shared" si="30"/>
        <v>50325</v>
      </c>
      <c r="H38" s="7">
        <f t="shared" si="30"/>
        <v>50325</v>
      </c>
      <c r="I38" s="7">
        <f>I16*0.75</f>
        <v>50325</v>
      </c>
      <c r="J38" s="7">
        <f t="shared" ref="J38" si="31">I38</f>
        <v>50325</v>
      </c>
      <c r="K38" s="145"/>
    </row>
    <row r="39" spans="1:18" x14ac:dyDescent="0.2">
      <c r="A39" s="143"/>
      <c r="B39" s="133"/>
      <c r="C39" s="19" t="s">
        <v>11</v>
      </c>
      <c r="D39" s="6">
        <v>15500</v>
      </c>
      <c r="E39" s="6">
        <v>10500</v>
      </c>
      <c r="F39" s="6">
        <v>8500</v>
      </c>
      <c r="G39" s="7">
        <v>6500</v>
      </c>
      <c r="H39" s="7">
        <v>5500</v>
      </c>
      <c r="I39" s="7">
        <v>4500</v>
      </c>
      <c r="J39" s="7">
        <v>3500</v>
      </c>
      <c r="K39" s="145"/>
    </row>
    <row r="40" spans="1:18" x14ac:dyDescent="0.2">
      <c r="A40" s="143"/>
      <c r="B40" s="133"/>
      <c r="C40" s="36" t="s">
        <v>47</v>
      </c>
      <c r="D40" s="31">
        <f>((D38-D39)*0.95)*2</f>
        <v>66167.5</v>
      </c>
      <c r="E40" s="31">
        <f t="shared" ref="E40:I40" si="32">((E38-E39)*0.95)*2</f>
        <v>75667.5</v>
      </c>
      <c r="F40" s="31">
        <f t="shared" si="32"/>
        <v>79467.5</v>
      </c>
      <c r="G40" s="31">
        <f t="shared" si="32"/>
        <v>83267.5</v>
      </c>
      <c r="H40" s="31">
        <f t="shared" si="32"/>
        <v>85167.5</v>
      </c>
      <c r="I40" s="31">
        <f t="shared" si="32"/>
        <v>87067.5</v>
      </c>
      <c r="J40" s="31">
        <f>((J38-J39)*0.95)*2</f>
        <v>88967.5</v>
      </c>
      <c r="K40" s="145"/>
      <c r="L40" s="24"/>
      <c r="M40" s="24"/>
      <c r="N40" s="24"/>
      <c r="O40" s="24"/>
      <c r="P40" s="24"/>
      <c r="Q40" s="24"/>
      <c r="R40" s="24"/>
    </row>
    <row r="41" spans="1:18" ht="17" thickBot="1" x14ac:dyDescent="0.25">
      <c r="A41" s="143"/>
      <c r="B41" s="133"/>
      <c r="C41" s="41" t="s">
        <v>48</v>
      </c>
      <c r="D41" s="31">
        <f>(D38-D39)</f>
        <v>34825</v>
      </c>
      <c r="E41" s="31">
        <f t="shared" ref="E41:J41" si="33">(E38-E39)</f>
        <v>39825</v>
      </c>
      <c r="F41" s="31">
        <f t="shared" si="33"/>
        <v>41825</v>
      </c>
      <c r="G41" s="31">
        <f t="shared" si="33"/>
        <v>43825</v>
      </c>
      <c r="H41" s="31">
        <f t="shared" si="33"/>
        <v>44825</v>
      </c>
      <c r="I41" s="31">
        <f t="shared" si="33"/>
        <v>45825</v>
      </c>
      <c r="J41" s="31">
        <f t="shared" si="33"/>
        <v>46825</v>
      </c>
      <c r="K41" s="145"/>
      <c r="L41" s="24"/>
      <c r="M41" s="24"/>
      <c r="N41" s="24"/>
      <c r="O41" s="24"/>
      <c r="P41" s="24"/>
      <c r="Q41" s="24"/>
      <c r="R41" s="24"/>
    </row>
    <row r="42" spans="1:18" x14ac:dyDescent="0.2">
      <c r="A42" s="143"/>
      <c r="B42" s="132" t="s">
        <v>39</v>
      </c>
      <c r="C42" s="4" t="s">
        <v>15</v>
      </c>
      <c r="D42" s="6">
        <f>D21*0.75</f>
        <v>51600</v>
      </c>
      <c r="E42" s="6">
        <f t="shared" ref="E42:I42" si="34">E21*0.75</f>
        <v>51600</v>
      </c>
      <c r="F42" s="6">
        <f t="shared" si="34"/>
        <v>51600</v>
      </c>
      <c r="G42" s="6">
        <f t="shared" si="34"/>
        <v>51600</v>
      </c>
      <c r="H42" s="6">
        <f t="shared" si="34"/>
        <v>51600</v>
      </c>
      <c r="I42" s="6">
        <f t="shared" si="34"/>
        <v>51600</v>
      </c>
      <c r="J42" s="6">
        <f>J21*0.75</f>
        <v>51600</v>
      </c>
      <c r="K42" s="145"/>
    </row>
    <row r="43" spans="1:18" x14ac:dyDescent="0.2">
      <c r="A43" s="143"/>
      <c r="B43" s="133"/>
      <c r="C43" s="19" t="s">
        <v>11</v>
      </c>
      <c r="D43" s="6">
        <f t="shared" ref="D43:J43" si="35">D39</f>
        <v>15500</v>
      </c>
      <c r="E43" s="6">
        <f t="shared" si="35"/>
        <v>10500</v>
      </c>
      <c r="F43" s="6">
        <f t="shared" si="35"/>
        <v>8500</v>
      </c>
      <c r="G43" s="6">
        <f t="shared" si="35"/>
        <v>6500</v>
      </c>
      <c r="H43" s="7">
        <f t="shared" si="35"/>
        <v>5500</v>
      </c>
      <c r="I43" s="7">
        <f t="shared" si="35"/>
        <v>4500</v>
      </c>
      <c r="J43" s="7">
        <f t="shared" si="35"/>
        <v>3500</v>
      </c>
      <c r="K43" s="145"/>
    </row>
    <row r="44" spans="1:18" x14ac:dyDescent="0.2">
      <c r="A44" s="143"/>
      <c r="B44" s="133"/>
      <c r="C44" s="37" t="s">
        <v>47</v>
      </c>
      <c r="D44" s="32">
        <f>((D42-D43)*0.95)*2</f>
        <v>68590</v>
      </c>
      <c r="E44" s="32">
        <f t="shared" ref="E44:J44" si="36">((E42-E43)*0.95)*2</f>
        <v>78090</v>
      </c>
      <c r="F44" s="32">
        <f t="shared" si="36"/>
        <v>81890</v>
      </c>
      <c r="G44" s="32">
        <f t="shared" si="36"/>
        <v>85690</v>
      </c>
      <c r="H44" s="32">
        <f t="shared" si="36"/>
        <v>87590</v>
      </c>
      <c r="I44" s="32">
        <f t="shared" si="36"/>
        <v>89490</v>
      </c>
      <c r="J44" s="32">
        <f t="shared" si="36"/>
        <v>91390</v>
      </c>
      <c r="K44" s="145"/>
    </row>
    <row r="45" spans="1:18" ht="17" thickBot="1" x14ac:dyDescent="0.25">
      <c r="A45" s="143"/>
      <c r="B45" s="133"/>
      <c r="C45" s="39" t="s">
        <v>48</v>
      </c>
      <c r="D45" s="32">
        <f>(D42-D43)</f>
        <v>36100</v>
      </c>
      <c r="E45" s="32">
        <f t="shared" ref="E45:J45" si="37">(E42-E43)</f>
        <v>41100</v>
      </c>
      <c r="F45" s="32">
        <f t="shared" si="37"/>
        <v>43100</v>
      </c>
      <c r="G45" s="32">
        <f t="shared" si="37"/>
        <v>45100</v>
      </c>
      <c r="H45" s="32">
        <f t="shared" si="37"/>
        <v>46100</v>
      </c>
      <c r="I45" s="32">
        <f t="shared" si="37"/>
        <v>47100</v>
      </c>
      <c r="J45" s="32">
        <f t="shared" si="37"/>
        <v>48100</v>
      </c>
      <c r="K45" s="145"/>
    </row>
    <row r="46" spans="1:18" x14ac:dyDescent="0.2">
      <c r="A46" s="143"/>
      <c r="B46" s="132" t="s">
        <v>40</v>
      </c>
      <c r="C46" s="4" t="s">
        <v>15</v>
      </c>
      <c r="D46" s="6">
        <f>D42*1.05</f>
        <v>54180</v>
      </c>
      <c r="E46" s="6">
        <f t="shared" ref="E46:H46" si="38">D46</f>
        <v>54180</v>
      </c>
      <c r="F46" s="6">
        <f t="shared" si="38"/>
        <v>54180</v>
      </c>
      <c r="G46" s="6">
        <f t="shared" si="38"/>
        <v>54180</v>
      </c>
      <c r="H46" s="7">
        <f t="shared" si="38"/>
        <v>54180</v>
      </c>
      <c r="I46" s="7">
        <f>I42*1.05</f>
        <v>54180</v>
      </c>
      <c r="J46" s="7">
        <f t="shared" ref="J46" si="39">I46</f>
        <v>54180</v>
      </c>
      <c r="K46" s="145"/>
    </row>
    <row r="47" spans="1:18" x14ac:dyDescent="0.2">
      <c r="A47" s="143"/>
      <c r="B47" s="133"/>
      <c r="C47" s="19" t="s">
        <v>11</v>
      </c>
      <c r="D47" s="6">
        <f t="shared" ref="D47:J47" si="40">D43</f>
        <v>15500</v>
      </c>
      <c r="E47" s="6">
        <f t="shared" si="40"/>
        <v>10500</v>
      </c>
      <c r="F47" s="6">
        <f t="shared" si="40"/>
        <v>8500</v>
      </c>
      <c r="G47" s="6">
        <f t="shared" si="40"/>
        <v>6500</v>
      </c>
      <c r="H47" s="7">
        <f t="shared" si="40"/>
        <v>5500</v>
      </c>
      <c r="I47" s="7">
        <f t="shared" si="40"/>
        <v>4500</v>
      </c>
      <c r="J47" s="7">
        <f t="shared" si="40"/>
        <v>3500</v>
      </c>
      <c r="K47" s="145"/>
    </row>
    <row r="48" spans="1:18" x14ac:dyDescent="0.2">
      <c r="A48" s="143"/>
      <c r="B48" s="133"/>
      <c r="C48" s="38" t="s">
        <v>47</v>
      </c>
      <c r="D48" s="33">
        <f>((D46-D47)*0.95)*2</f>
        <v>73492</v>
      </c>
      <c r="E48" s="33">
        <f t="shared" ref="E48:J48" si="41">((E46-E47)*0.95)*2</f>
        <v>82992</v>
      </c>
      <c r="F48" s="33">
        <f t="shared" si="41"/>
        <v>86792</v>
      </c>
      <c r="G48" s="33">
        <f t="shared" si="41"/>
        <v>90592</v>
      </c>
      <c r="H48" s="33">
        <f t="shared" si="41"/>
        <v>92492</v>
      </c>
      <c r="I48" s="33">
        <f t="shared" si="41"/>
        <v>94392</v>
      </c>
      <c r="J48" s="33">
        <f t="shared" si="41"/>
        <v>96292</v>
      </c>
      <c r="K48" s="145"/>
    </row>
    <row r="49" spans="1:11" ht="17" thickBot="1" x14ac:dyDescent="0.25">
      <c r="A49" s="143"/>
      <c r="B49" s="133"/>
      <c r="C49" s="40" t="s">
        <v>48</v>
      </c>
      <c r="D49" s="33">
        <f>(D46-D47)</f>
        <v>38680</v>
      </c>
      <c r="E49" s="33">
        <f t="shared" ref="E49:J49" si="42">(E46-E47)</f>
        <v>43680</v>
      </c>
      <c r="F49" s="33">
        <f t="shared" si="42"/>
        <v>45680</v>
      </c>
      <c r="G49" s="33">
        <f t="shared" si="42"/>
        <v>47680</v>
      </c>
      <c r="H49" s="33">
        <f t="shared" si="42"/>
        <v>48680</v>
      </c>
      <c r="I49" s="33">
        <f t="shared" si="42"/>
        <v>49680</v>
      </c>
      <c r="J49" s="33">
        <f t="shared" si="42"/>
        <v>50680</v>
      </c>
      <c r="K49" s="145"/>
    </row>
    <row r="50" spans="1:11" x14ac:dyDescent="0.2">
      <c r="A50" s="143"/>
      <c r="B50" s="132" t="s">
        <v>41</v>
      </c>
      <c r="C50" s="4" t="s">
        <v>15</v>
      </c>
      <c r="D50" s="6">
        <f>D46*1.05</f>
        <v>56889</v>
      </c>
      <c r="E50" s="6">
        <f t="shared" ref="E50" si="43">D50</f>
        <v>56889</v>
      </c>
      <c r="F50" s="6">
        <f t="shared" ref="F50" si="44">E50</f>
        <v>56889</v>
      </c>
      <c r="G50" s="6">
        <f t="shared" ref="G50" si="45">F50</f>
        <v>56889</v>
      </c>
      <c r="H50" s="7">
        <f t="shared" ref="H50" si="46">G50</f>
        <v>56889</v>
      </c>
      <c r="I50" s="7">
        <f>I46*1.05</f>
        <v>56889</v>
      </c>
      <c r="J50" s="7">
        <f t="shared" ref="J50" si="47">I50</f>
        <v>56889</v>
      </c>
      <c r="K50" s="145"/>
    </row>
    <row r="51" spans="1:11" x14ac:dyDescent="0.2">
      <c r="A51" s="143"/>
      <c r="B51" s="133"/>
      <c r="C51" s="19" t="s">
        <v>11</v>
      </c>
      <c r="D51" s="6">
        <f t="shared" ref="D51:J51" si="48">D47</f>
        <v>15500</v>
      </c>
      <c r="E51" s="6">
        <f t="shared" si="48"/>
        <v>10500</v>
      </c>
      <c r="F51" s="6">
        <f t="shared" si="48"/>
        <v>8500</v>
      </c>
      <c r="G51" s="6">
        <f t="shared" si="48"/>
        <v>6500</v>
      </c>
      <c r="H51" s="7">
        <f t="shared" si="48"/>
        <v>5500</v>
      </c>
      <c r="I51" s="7">
        <f t="shared" si="48"/>
        <v>4500</v>
      </c>
      <c r="J51" s="7">
        <f t="shared" si="48"/>
        <v>3500</v>
      </c>
      <c r="K51" s="145"/>
    </row>
    <row r="52" spans="1:11" x14ac:dyDescent="0.2">
      <c r="A52" s="143"/>
      <c r="B52" s="133"/>
      <c r="C52" s="38" t="s">
        <v>47</v>
      </c>
      <c r="D52" s="33">
        <f>((D50-D51)*0.95)*2</f>
        <v>78639.099999999991</v>
      </c>
      <c r="E52" s="33">
        <f t="shared" ref="E52:J52" si="49">((E50-E51)*0.95)*2</f>
        <v>88139.099999999991</v>
      </c>
      <c r="F52" s="33">
        <f t="shared" si="49"/>
        <v>91939.099999999991</v>
      </c>
      <c r="G52" s="33">
        <f t="shared" si="49"/>
        <v>95739.099999999991</v>
      </c>
      <c r="H52" s="33">
        <f t="shared" si="49"/>
        <v>97639.099999999991</v>
      </c>
      <c r="I52" s="33">
        <f t="shared" si="49"/>
        <v>99539.099999999991</v>
      </c>
      <c r="J52" s="33">
        <f t="shared" si="49"/>
        <v>101439.09999999999</v>
      </c>
      <c r="K52" s="145"/>
    </row>
    <row r="53" spans="1:11" x14ac:dyDescent="0.2">
      <c r="A53" s="143"/>
      <c r="B53" s="133"/>
      <c r="C53" s="40" t="s">
        <v>48</v>
      </c>
      <c r="D53" s="33">
        <f>(D50-D51)</f>
        <v>41389</v>
      </c>
      <c r="E53" s="33">
        <f t="shared" ref="E53:J53" si="50">(E50-E51)</f>
        <v>46389</v>
      </c>
      <c r="F53" s="33">
        <f t="shared" si="50"/>
        <v>48389</v>
      </c>
      <c r="G53" s="33">
        <f t="shared" si="50"/>
        <v>50389</v>
      </c>
      <c r="H53" s="33">
        <f t="shared" si="50"/>
        <v>51389</v>
      </c>
      <c r="I53" s="33">
        <f t="shared" si="50"/>
        <v>52389</v>
      </c>
      <c r="J53" s="33">
        <f t="shared" si="50"/>
        <v>53389</v>
      </c>
      <c r="K53" s="145"/>
    </row>
    <row r="54" spans="1:11" x14ac:dyDescent="0.2">
      <c r="A54" s="164"/>
      <c r="B54" s="147" t="s">
        <v>13</v>
      </c>
      <c r="C54" s="148"/>
      <c r="D54" s="33">
        <f>SUM(D40,D44,D48,D52)</f>
        <v>286888.59999999998</v>
      </c>
      <c r="E54" s="33">
        <f t="shared" ref="E54:J54" si="51">SUM(E40,E44,E48,E52)</f>
        <v>324888.59999999998</v>
      </c>
      <c r="F54" s="33">
        <f t="shared" si="51"/>
        <v>340088.6</v>
      </c>
      <c r="G54" s="33">
        <f t="shared" si="51"/>
        <v>355288.6</v>
      </c>
      <c r="H54" s="33">
        <f t="shared" si="51"/>
        <v>362888.6</v>
      </c>
      <c r="I54" s="33">
        <f t="shared" si="51"/>
        <v>370488.6</v>
      </c>
      <c r="J54" s="33">
        <f t="shared" si="51"/>
        <v>378088.6</v>
      </c>
      <c r="K54" s="146"/>
    </row>
    <row r="55" spans="1:11" ht="16" customHeight="1" x14ac:dyDescent="0.2">
      <c r="A55" s="134" t="s">
        <v>16</v>
      </c>
      <c r="B55" s="134"/>
      <c r="C55" s="134"/>
      <c r="D55" s="134"/>
      <c r="E55" s="134"/>
      <c r="F55" s="134"/>
      <c r="G55" s="134"/>
      <c r="H55" s="134"/>
      <c r="I55" s="134"/>
      <c r="J55" s="134"/>
      <c r="K55" s="134"/>
    </row>
    <row r="56" spans="1:11" ht="16" customHeight="1" x14ac:dyDescent="0.2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4"/>
    </row>
    <row r="57" spans="1:11" ht="17" customHeight="1" x14ac:dyDescent="0.2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4"/>
    </row>
    <row r="58" spans="1:11" x14ac:dyDescent="0.2">
      <c r="A58" s="135" t="s">
        <v>17</v>
      </c>
      <c r="B58" s="136"/>
      <c r="C58" s="139" t="s">
        <v>18</v>
      </c>
      <c r="D58" s="139"/>
      <c r="E58" s="8">
        <v>5000</v>
      </c>
      <c r="F58" s="9"/>
      <c r="G58" s="10"/>
    </row>
    <row r="59" spans="1:11" ht="16" customHeight="1" x14ac:dyDescent="0.2">
      <c r="A59" s="135"/>
      <c r="B59" s="136"/>
      <c r="C59" s="116" t="s">
        <v>19</v>
      </c>
      <c r="D59" s="116"/>
      <c r="E59" s="11">
        <v>3000</v>
      </c>
      <c r="F59" s="9"/>
      <c r="G59" s="10"/>
    </row>
    <row r="60" spans="1:11" ht="16" customHeight="1" thickBot="1" x14ac:dyDescent="0.25">
      <c r="A60" s="137"/>
      <c r="B60" s="138"/>
      <c r="C60" s="118" t="s">
        <v>20</v>
      </c>
      <c r="D60" s="118"/>
      <c r="E60" s="11">
        <v>3000</v>
      </c>
      <c r="F60" s="12"/>
      <c r="G60" s="13"/>
    </row>
    <row r="61" spans="1:11" ht="33" customHeight="1" thickBot="1" x14ac:dyDescent="0.25">
      <c r="A61" s="14" t="s">
        <v>21</v>
      </c>
      <c r="B61" s="15" t="s">
        <v>22</v>
      </c>
      <c r="C61" s="16" t="s">
        <v>23</v>
      </c>
      <c r="D61" s="16" t="s">
        <v>24</v>
      </c>
      <c r="E61" s="16" t="s">
        <v>25</v>
      </c>
      <c r="F61" s="17" t="s">
        <v>26</v>
      </c>
      <c r="G61" s="15" t="s">
        <v>27</v>
      </c>
      <c r="H61" s="15" t="s">
        <v>28</v>
      </c>
      <c r="I61" s="15" t="s">
        <v>29</v>
      </c>
    </row>
    <row r="62" spans="1:11" ht="14.5" customHeight="1" thickBot="1" x14ac:dyDescent="0.25">
      <c r="A62" s="21" t="s">
        <v>30</v>
      </c>
      <c r="B62" s="18">
        <f>B63*2</f>
        <v>7000</v>
      </c>
      <c r="C62" s="18">
        <f t="shared" ref="C62:H62" si="52">C63*2</f>
        <v>5000</v>
      </c>
      <c r="D62" s="18">
        <v>1000</v>
      </c>
      <c r="E62" s="18">
        <f t="shared" si="52"/>
        <v>1500</v>
      </c>
      <c r="F62" s="18">
        <f t="shared" si="52"/>
        <v>1000</v>
      </c>
      <c r="G62" s="18">
        <f t="shared" si="52"/>
        <v>1000</v>
      </c>
      <c r="H62" s="18">
        <f t="shared" si="52"/>
        <v>2000</v>
      </c>
      <c r="I62" s="59">
        <f>SUM(B62:H62)</f>
        <v>18500</v>
      </c>
    </row>
    <row r="63" spans="1:11" ht="14.5" customHeight="1" x14ac:dyDescent="0.2">
      <c r="A63" s="52" t="s">
        <v>31</v>
      </c>
      <c r="B63" s="53">
        <v>3500</v>
      </c>
      <c r="C63" s="53">
        <v>2500</v>
      </c>
      <c r="D63" s="64">
        <v>1000</v>
      </c>
      <c r="E63" s="64">
        <v>750</v>
      </c>
      <c r="F63" s="64">
        <v>500</v>
      </c>
      <c r="G63" s="53">
        <v>500</v>
      </c>
      <c r="H63" s="53">
        <v>1000</v>
      </c>
      <c r="I63" s="61">
        <f>SUM(B63:H63)</f>
        <v>9750</v>
      </c>
    </row>
    <row r="64" spans="1:11" ht="24" customHeight="1" x14ac:dyDescent="0.2">
      <c r="A64" s="140" t="s">
        <v>45</v>
      </c>
      <c r="B64" s="140"/>
      <c r="C64" s="140"/>
      <c r="D64" s="140"/>
      <c r="E64" s="140"/>
      <c r="F64" s="140"/>
      <c r="G64" s="140"/>
      <c r="H64" s="140"/>
      <c r="I64" s="140"/>
    </row>
    <row r="65" spans="1:9" ht="22" customHeight="1" x14ac:dyDescent="0.2">
      <c r="A65" s="140" t="s">
        <v>46</v>
      </c>
      <c r="B65" s="140"/>
      <c r="C65" s="140"/>
      <c r="D65" s="140"/>
      <c r="E65" s="140"/>
      <c r="F65" s="140"/>
      <c r="G65" s="140"/>
      <c r="H65" s="140"/>
      <c r="I65" s="140"/>
    </row>
    <row r="66" spans="1:9" ht="34" customHeight="1" x14ac:dyDescent="0.2">
      <c r="A66" s="141" t="s">
        <v>43</v>
      </c>
      <c r="B66" s="141"/>
      <c r="C66" s="141"/>
      <c r="D66" s="141"/>
      <c r="E66" s="141"/>
      <c r="F66" s="141"/>
      <c r="G66" s="141"/>
      <c r="H66" s="141"/>
      <c r="I66" s="141"/>
    </row>
    <row r="67" spans="1:9" x14ac:dyDescent="0.2">
      <c r="A67" s="140" t="s">
        <v>32</v>
      </c>
      <c r="B67" s="140"/>
      <c r="C67" s="140"/>
      <c r="D67" s="140"/>
      <c r="E67" s="140"/>
      <c r="F67" s="140"/>
      <c r="G67" s="140"/>
      <c r="H67" s="140"/>
      <c r="I67" s="140"/>
    </row>
    <row r="68" spans="1:9" ht="28" customHeight="1" x14ac:dyDescent="0.2">
      <c r="A68" s="129" t="s">
        <v>96</v>
      </c>
      <c r="B68" s="130"/>
      <c r="C68" s="130"/>
      <c r="D68" s="130"/>
      <c r="E68" s="130"/>
      <c r="F68" s="130"/>
      <c r="G68" s="130"/>
      <c r="H68" s="130"/>
      <c r="I68" s="131"/>
    </row>
    <row r="69" spans="1:9" ht="13.5" customHeight="1" x14ac:dyDescent="0.2"/>
    <row r="71" spans="1:9" ht="28.75" customHeight="1" x14ac:dyDescent="0.2"/>
    <row r="72" spans="1:9" ht="39" customHeight="1" x14ac:dyDescent="0.2"/>
  </sheetData>
  <mergeCells count="25">
    <mergeCell ref="A68:I68"/>
    <mergeCell ref="A1:K10"/>
    <mergeCell ref="A11:K14"/>
    <mergeCell ref="B16:B20"/>
    <mergeCell ref="B21:B25"/>
    <mergeCell ref="B26:B30"/>
    <mergeCell ref="A55:K57"/>
    <mergeCell ref="A58:B60"/>
    <mergeCell ref="A66:I66"/>
    <mergeCell ref="A67:I67"/>
    <mergeCell ref="C58:D58"/>
    <mergeCell ref="C59:D59"/>
    <mergeCell ref="C60:D60"/>
    <mergeCell ref="A64:I64"/>
    <mergeCell ref="A65:I65"/>
    <mergeCell ref="B31:B35"/>
    <mergeCell ref="B50:B53"/>
    <mergeCell ref="A38:A54"/>
    <mergeCell ref="A15:A36"/>
    <mergeCell ref="K15:K54"/>
    <mergeCell ref="B36:C36"/>
    <mergeCell ref="B38:B41"/>
    <mergeCell ref="B42:B45"/>
    <mergeCell ref="B46:B49"/>
    <mergeCell ref="B54:C54"/>
  </mergeCells>
  <pageMargins left="0.7" right="0.7" top="0.75" bottom="0.75" header="0.3" footer="0.3"/>
  <pageSetup paperSize="9" scale="4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C1034-8978-D742-8883-A097B3128A49}">
  <sheetPr>
    <pageSetUpPr fitToPage="1"/>
  </sheetPr>
  <dimension ref="A1:P54"/>
  <sheetViews>
    <sheetView topLeftCell="B14" zoomScale="125" workbookViewId="0">
      <selection activeCell="J31" sqref="J31"/>
    </sheetView>
  </sheetViews>
  <sheetFormatPr baseColWidth="10" defaultColWidth="8.83203125" defaultRowHeight="16" x14ac:dyDescent="0.2"/>
  <cols>
    <col min="1" max="1" width="17.33203125" customWidth="1"/>
    <col min="2" max="2" width="23" bestFit="1" customWidth="1"/>
    <col min="3" max="3" width="41.1640625" bestFit="1" customWidth="1"/>
    <col min="4" max="4" width="16.83203125" customWidth="1"/>
    <col min="5" max="5" width="15.1640625" customWidth="1"/>
    <col min="6" max="6" width="14.83203125" customWidth="1"/>
    <col min="7" max="7" width="18.1640625" customWidth="1"/>
    <col min="8" max="11" width="16.6640625" customWidth="1"/>
  </cols>
  <sheetData>
    <row r="1" spans="1:14" x14ac:dyDescent="0.2">
      <c r="A1" s="176"/>
      <c r="B1" s="177"/>
      <c r="C1" s="177"/>
      <c r="D1" s="177"/>
      <c r="E1" s="177"/>
      <c r="F1" s="177"/>
      <c r="G1" s="177"/>
      <c r="H1" s="177"/>
      <c r="I1" s="178"/>
    </row>
    <row r="2" spans="1:14" x14ac:dyDescent="0.2">
      <c r="A2" s="179"/>
      <c r="B2" s="180"/>
      <c r="C2" s="180"/>
      <c r="D2" s="180"/>
      <c r="E2" s="180"/>
      <c r="F2" s="180"/>
      <c r="G2" s="180"/>
      <c r="H2" s="180"/>
      <c r="I2" s="181"/>
    </row>
    <row r="3" spans="1:14" x14ac:dyDescent="0.2">
      <c r="A3" s="179"/>
      <c r="B3" s="180"/>
      <c r="C3" s="180"/>
      <c r="D3" s="180"/>
      <c r="E3" s="180"/>
      <c r="F3" s="180"/>
      <c r="G3" s="180"/>
      <c r="H3" s="180"/>
      <c r="I3" s="181"/>
    </row>
    <row r="4" spans="1:14" x14ac:dyDescent="0.2">
      <c r="A4" s="179"/>
      <c r="B4" s="180"/>
      <c r="C4" s="180"/>
      <c r="D4" s="180"/>
      <c r="E4" s="180"/>
      <c r="F4" s="180"/>
      <c r="G4" s="180"/>
      <c r="H4" s="180"/>
      <c r="I4" s="181"/>
    </row>
    <row r="5" spans="1:14" x14ac:dyDescent="0.2">
      <c r="A5" s="179"/>
      <c r="B5" s="180"/>
      <c r="C5" s="180"/>
      <c r="D5" s="180"/>
      <c r="E5" s="180"/>
      <c r="F5" s="180"/>
      <c r="G5" s="180"/>
      <c r="H5" s="180"/>
      <c r="I5" s="181"/>
    </row>
    <row r="6" spans="1:14" x14ac:dyDescent="0.2">
      <c r="A6" s="179"/>
      <c r="B6" s="180"/>
      <c r="C6" s="180"/>
      <c r="D6" s="180"/>
      <c r="E6" s="180"/>
      <c r="F6" s="180"/>
      <c r="G6" s="180"/>
      <c r="H6" s="180"/>
      <c r="I6" s="181"/>
    </row>
    <row r="7" spans="1:14" x14ac:dyDescent="0.2">
      <c r="A7" s="179"/>
      <c r="B7" s="180"/>
      <c r="C7" s="180"/>
      <c r="D7" s="180"/>
      <c r="E7" s="180"/>
      <c r="F7" s="180"/>
      <c r="G7" s="180"/>
      <c r="H7" s="180"/>
      <c r="I7" s="181"/>
    </row>
    <row r="8" spans="1:14" x14ac:dyDescent="0.2">
      <c r="A8" s="179"/>
      <c r="B8" s="180"/>
      <c r="C8" s="180"/>
      <c r="D8" s="180"/>
      <c r="E8" s="180"/>
      <c r="F8" s="180"/>
      <c r="G8" s="180"/>
      <c r="H8" s="180"/>
      <c r="I8" s="181"/>
    </row>
    <row r="9" spans="1:14" x14ac:dyDescent="0.2">
      <c r="A9" s="179"/>
      <c r="B9" s="180"/>
      <c r="C9" s="180"/>
      <c r="D9" s="180"/>
      <c r="E9" s="180"/>
      <c r="F9" s="180"/>
      <c r="G9" s="180"/>
      <c r="H9" s="180"/>
      <c r="I9" s="181"/>
    </row>
    <row r="10" spans="1:14" x14ac:dyDescent="0.2">
      <c r="A10" s="182"/>
      <c r="B10" s="183"/>
      <c r="C10" s="183"/>
      <c r="D10" s="183"/>
      <c r="E10" s="183"/>
      <c r="F10" s="183"/>
      <c r="G10" s="183"/>
      <c r="H10" s="183"/>
      <c r="I10" s="184"/>
    </row>
    <row r="11" spans="1:14" ht="14.5" customHeight="1" x14ac:dyDescent="0.2">
      <c r="A11" s="123" t="s">
        <v>86</v>
      </c>
      <c r="B11" s="123"/>
      <c r="C11" s="123"/>
      <c r="D11" s="123"/>
      <c r="E11" s="123"/>
      <c r="F11" s="123"/>
      <c r="G11" s="123"/>
      <c r="H11" s="123"/>
      <c r="I11" s="123"/>
    </row>
    <row r="12" spans="1:14" ht="92" customHeight="1" x14ac:dyDescent="0.2">
      <c r="A12" s="123"/>
      <c r="B12" s="123"/>
      <c r="C12" s="123"/>
      <c r="D12" s="123"/>
      <c r="E12" s="123"/>
      <c r="F12" s="123"/>
      <c r="G12" s="123"/>
      <c r="H12" s="123"/>
      <c r="I12" s="123"/>
    </row>
    <row r="13" spans="1:14" ht="85.25" customHeight="1" x14ac:dyDescent="0.2">
      <c r="A13" s="144" t="s">
        <v>0</v>
      </c>
      <c r="B13" s="62" t="s">
        <v>1</v>
      </c>
      <c r="C13" s="63" t="s">
        <v>2</v>
      </c>
      <c r="D13" s="62" t="s">
        <v>52</v>
      </c>
      <c r="E13" s="62" t="s">
        <v>53</v>
      </c>
      <c r="F13" s="62" t="s">
        <v>54</v>
      </c>
      <c r="G13" s="62" t="s">
        <v>55</v>
      </c>
      <c r="H13" s="62" t="s">
        <v>56</v>
      </c>
      <c r="I13" s="185" t="s">
        <v>9</v>
      </c>
    </row>
    <row r="14" spans="1:14" x14ac:dyDescent="0.2">
      <c r="A14" s="145"/>
      <c r="B14" s="186" t="s">
        <v>38</v>
      </c>
      <c r="C14" s="66" t="s">
        <v>10</v>
      </c>
      <c r="D14" s="45">
        <v>62100</v>
      </c>
      <c r="E14" s="45">
        <f>D14</f>
        <v>62100</v>
      </c>
      <c r="F14" s="45">
        <f t="shared" ref="F14:H14" si="0">E14</f>
        <v>62100</v>
      </c>
      <c r="G14" s="46">
        <f t="shared" si="0"/>
        <v>62100</v>
      </c>
      <c r="H14" s="46">
        <f t="shared" si="0"/>
        <v>62100</v>
      </c>
      <c r="I14" s="163"/>
      <c r="J14" s="24"/>
      <c r="K14" s="24"/>
      <c r="L14" s="24"/>
      <c r="M14" s="24"/>
      <c r="N14" s="24"/>
    </row>
    <row r="15" spans="1:14" x14ac:dyDescent="0.2">
      <c r="A15" s="145"/>
      <c r="B15" s="133"/>
      <c r="C15" s="34" t="s">
        <v>11</v>
      </c>
      <c r="D15" s="6">
        <v>15000</v>
      </c>
      <c r="E15" s="6">
        <v>13000</v>
      </c>
      <c r="F15" s="6">
        <v>11000</v>
      </c>
      <c r="G15" s="7">
        <v>9000</v>
      </c>
      <c r="H15" s="7">
        <v>7000</v>
      </c>
      <c r="I15" s="163"/>
    </row>
    <row r="16" spans="1:14" x14ac:dyDescent="0.2">
      <c r="A16" s="145"/>
      <c r="B16" s="133"/>
      <c r="C16" s="37" t="s">
        <v>44</v>
      </c>
      <c r="D16" s="32">
        <v>5500</v>
      </c>
      <c r="E16" s="32">
        <f>D16</f>
        <v>5500</v>
      </c>
      <c r="F16" s="32">
        <f t="shared" ref="F16:H16" si="1">E16</f>
        <v>5500</v>
      </c>
      <c r="G16" s="32">
        <f t="shared" si="1"/>
        <v>5500</v>
      </c>
      <c r="H16" s="32">
        <f t="shared" si="1"/>
        <v>5500</v>
      </c>
      <c r="I16" s="163"/>
    </row>
    <row r="17" spans="1:16" x14ac:dyDescent="0.2">
      <c r="A17" s="145"/>
      <c r="B17" s="133"/>
      <c r="C17" s="37" t="s">
        <v>47</v>
      </c>
      <c r="D17" s="32">
        <f>(((D14-D15)*0.95)*2)-D16*2</f>
        <v>78490</v>
      </c>
      <c r="E17" s="32">
        <f t="shared" ref="E17:H17" si="2">(((E14-E15)*0.95)*2)-E16*2</f>
        <v>82290</v>
      </c>
      <c r="F17" s="32">
        <f t="shared" si="2"/>
        <v>86090</v>
      </c>
      <c r="G17" s="32">
        <f t="shared" si="2"/>
        <v>89890</v>
      </c>
      <c r="H17" s="32">
        <f t="shared" si="2"/>
        <v>93690</v>
      </c>
      <c r="I17" s="163"/>
    </row>
    <row r="18" spans="1:16" ht="17" thickBot="1" x14ac:dyDescent="0.25">
      <c r="A18" s="145"/>
      <c r="B18" s="133"/>
      <c r="C18" s="37" t="s">
        <v>48</v>
      </c>
      <c r="D18" s="32">
        <f>(D14-D15)-D16</f>
        <v>41600</v>
      </c>
      <c r="E18" s="32">
        <f t="shared" ref="E18:H18" si="3">(E14-E15)-E16</f>
        <v>43600</v>
      </c>
      <c r="F18" s="32">
        <f t="shared" si="3"/>
        <v>45600</v>
      </c>
      <c r="G18" s="32">
        <f t="shared" si="3"/>
        <v>47600</v>
      </c>
      <c r="H18" s="32">
        <f t="shared" si="3"/>
        <v>49600</v>
      </c>
      <c r="I18" s="163"/>
      <c r="J18" s="24"/>
      <c r="K18" s="24"/>
      <c r="L18" s="24"/>
      <c r="M18" s="24"/>
      <c r="N18" s="24"/>
      <c r="O18" s="24"/>
      <c r="P18" s="24"/>
    </row>
    <row r="19" spans="1:16" ht="16" customHeight="1" x14ac:dyDescent="0.2">
      <c r="A19" s="145"/>
      <c r="B19" s="132" t="s">
        <v>39</v>
      </c>
      <c r="C19" s="34" t="s">
        <v>12</v>
      </c>
      <c r="D19" s="6">
        <v>63550</v>
      </c>
      <c r="E19" s="6">
        <f t="shared" ref="E19:H19" si="4">D19</f>
        <v>63550</v>
      </c>
      <c r="F19" s="6">
        <f t="shared" si="4"/>
        <v>63550</v>
      </c>
      <c r="G19" s="7">
        <f t="shared" si="4"/>
        <v>63550</v>
      </c>
      <c r="H19" s="7">
        <f t="shared" si="4"/>
        <v>63550</v>
      </c>
      <c r="I19" s="163"/>
    </row>
    <row r="20" spans="1:16" x14ac:dyDescent="0.2">
      <c r="A20" s="145"/>
      <c r="B20" s="133"/>
      <c r="C20" s="34" t="s">
        <v>11</v>
      </c>
      <c r="D20" s="6">
        <f t="shared" ref="D20:H20" si="5">D15</f>
        <v>15000</v>
      </c>
      <c r="E20" s="6">
        <f t="shared" si="5"/>
        <v>13000</v>
      </c>
      <c r="F20" s="6">
        <f t="shared" si="5"/>
        <v>11000</v>
      </c>
      <c r="G20" s="7">
        <f t="shared" si="5"/>
        <v>9000</v>
      </c>
      <c r="H20" s="7">
        <f t="shared" si="5"/>
        <v>7000</v>
      </c>
      <c r="I20" s="163"/>
      <c r="J20" s="24"/>
    </row>
    <row r="21" spans="1:16" x14ac:dyDescent="0.2">
      <c r="A21" s="145"/>
      <c r="B21" s="133"/>
      <c r="C21" s="38" t="s">
        <v>44</v>
      </c>
      <c r="D21" s="33">
        <f>D16</f>
        <v>5500</v>
      </c>
      <c r="E21" s="33">
        <f>D21</f>
        <v>5500</v>
      </c>
      <c r="F21" s="33">
        <f t="shared" ref="F21:H21" si="6">E21</f>
        <v>5500</v>
      </c>
      <c r="G21" s="33">
        <f t="shared" si="6"/>
        <v>5500</v>
      </c>
      <c r="H21" s="33">
        <f t="shared" si="6"/>
        <v>5500</v>
      </c>
      <c r="I21" s="163"/>
      <c r="J21" s="24"/>
    </row>
    <row r="22" spans="1:16" x14ac:dyDescent="0.2">
      <c r="A22" s="145"/>
      <c r="B22" s="133"/>
      <c r="C22" s="38" t="s">
        <v>47</v>
      </c>
      <c r="D22" s="33">
        <f>(((D19-D20)*0.95)*2)-D21*2</f>
        <v>81245</v>
      </c>
      <c r="E22" s="33">
        <f t="shared" ref="E22:H22" si="7">(((E19-E20)*0.95)*2)-E21*2</f>
        <v>85045</v>
      </c>
      <c r="F22" s="33">
        <f t="shared" si="7"/>
        <v>88845</v>
      </c>
      <c r="G22" s="33">
        <f t="shared" si="7"/>
        <v>92645</v>
      </c>
      <c r="H22" s="33">
        <f t="shared" si="7"/>
        <v>96445</v>
      </c>
      <c r="I22" s="163"/>
    </row>
    <row r="23" spans="1:16" x14ac:dyDescent="0.2">
      <c r="A23" s="145"/>
      <c r="B23" s="133"/>
      <c r="C23" s="38" t="s">
        <v>48</v>
      </c>
      <c r="D23" s="33">
        <f>(D19-D20)-D21</f>
        <v>43050</v>
      </c>
      <c r="E23" s="33">
        <f t="shared" ref="E23:H23" si="8">(E19-E20)-E21</f>
        <v>45050</v>
      </c>
      <c r="F23" s="33">
        <f t="shared" si="8"/>
        <v>47050</v>
      </c>
      <c r="G23" s="33">
        <f t="shared" si="8"/>
        <v>49050</v>
      </c>
      <c r="H23" s="33">
        <f t="shared" si="8"/>
        <v>51050</v>
      </c>
      <c r="I23" s="163"/>
    </row>
    <row r="24" spans="1:16" x14ac:dyDescent="0.2">
      <c r="A24" s="145"/>
      <c r="B24" s="149" t="s">
        <v>13</v>
      </c>
      <c r="C24" s="150"/>
      <c r="D24" s="33">
        <f t="shared" ref="D24:H24" si="9">SUM(D17,D22)</f>
        <v>159735</v>
      </c>
      <c r="E24" s="33">
        <f t="shared" si="9"/>
        <v>167335</v>
      </c>
      <c r="F24" s="33">
        <f t="shared" si="9"/>
        <v>174935</v>
      </c>
      <c r="G24" s="33">
        <f t="shared" si="9"/>
        <v>182535</v>
      </c>
      <c r="H24" s="33">
        <f t="shared" si="9"/>
        <v>190135</v>
      </c>
      <c r="I24" s="163"/>
    </row>
    <row r="25" spans="1:16" ht="17" thickBot="1" x14ac:dyDescent="0.25">
      <c r="I25" s="163"/>
    </row>
    <row r="26" spans="1:16" ht="26" customHeight="1" x14ac:dyDescent="0.2">
      <c r="A26" s="142" t="s">
        <v>14</v>
      </c>
      <c r="B26" s="132" t="s">
        <v>38</v>
      </c>
      <c r="C26" s="19" t="s">
        <v>15</v>
      </c>
      <c r="D26" s="6">
        <f>D14*0.75</f>
        <v>46575</v>
      </c>
      <c r="E26" s="6">
        <f t="shared" ref="E26:H26" si="10">D26</f>
        <v>46575</v>
      </c>
      <c r="F26" s="6">
        <f t="shared" si="10"/>
        <v>46575</v>
      </c>
      <c r="G26" s="6">
        <f t="shared" si="10"/>
        <v>46575</v>
      </c>
      <c r="H26" s="7">
        <f t="shared" si="10"/>
        <v>46575</v>
      </c>
      <c r="I26" s="163"/>
    </row>
    <row r="27" spans="1:16" x14ac:dyDescent="0.2">
      <c r="A27" s="143"/>
      <c r="B27" s="133"/>
      <c r="C27" s="19" t="s">
        <v>11</v>
      </c>
      <c r="D27" s="6">
        <v>15000</v>
      </c>
      <c r="E27" s="6">
        <v>13000</v>
      </c>
      <c r="F27" s="6">
        <v>11000</v>
      </c>
      <c r="G27" s="7">
        <v>9000</v>
      </c>
      <c r="H27" s="7">
        <v>7000</v>
      </c>
      <c r="I27" s="163"/>
      <c r="J27" s="24"/>
      <c r="K27" s="24"/>
      <c r="L27" s="24"/>
      <c r="M27" s="24"/>
      <c r="N27" s="24"/>
      <c r="O27" s="24"/>
      <c r="P27" s="24"/>
    </row>
    <row r="28" spans="1:16" x14ac:dyDescent="0.2">
      <c r="A28" s="143"/>
      <c r="B28" s="133"/>
      <c r="C28" s="37" t="s">
        <v>47</v>
      </c>
      <c r="D28" s="32">
        <f>((D26-D27)*0.95)*2</f>
        <v>59992.5</v>
      </c>
      <c r="E28" s="32">
        <f t="shared" ref="E28:H28" si="11">((E26-E27)*0.95)*2</f>
        <v>63792.5</v>
      </c>
      <c r="F28" s="32">
        <f t="shared" si="11"/>
        <v>67592.5</v>
      </c>
      <c r="G28" s="32">
        <f t="shared" si="11"/>
        <v>71392.5</v>
      </c>
      <c r="H28" s="32">
        <f t="shared" si="11"/>
        <v>75192.5</v>
      </c>
      <c r="I28" s="163"/>
      <c r="K28" s="24"/>
      <c r="L28" s="24"/>
      <c r="M28" s="24"/>
      <c r="N28" s="24"/>
      <c r="O28" s="24"/>
    </row>
    <row r="29" spans="1:16" ht="17" thickBot="1" x14ac:dyDescent="0.25">
      <c r="A29" s="143"/>
      <c r="B29" s="133"/>
      <c r="C29" s="39" t="s">
        <v>48</v>
      </c>
      <c r="D29" s="32">
        <f>(D26-D27)</f>
        <v>31575</v>
      </c>
      <c r="E29" s="32">
        <f t="shared" ref="E29:H29" si="12">(E26-E27)</f>
        <v>33575</v>
      </c>
      <c r="F29" s="32">
        <f t="shared" si="12"/>
        <v>35575</v>
      </c>
      <c r="G29" s="32">
        <f t="shared" si="12"/>
        <v>37575</v>
      </c>
      <c r="H29" s="32">
        <f t="shared" si="12"/>
        <v>39575</v>
      </c>
      <c r="I29" s="163"/>
      <c r="J29" s="24"/>
      <c r="K29" s="24"/>
      <c r="L29" s="24"/>
      <c r="M29" s="24"/>
      <c r="N29" s="24"/>
      <c r="O29" s="24"/>
      <c r="P29" s="24"/>
    </row>
    <row r="30" spans="1:16" x14ac:dyDescent="0.2">
      <c r="A30" s="143"/>
      <c r="B30" s="132" t="s">
        <v>39</v>
      </c>
      <c r="C30" s="4" t="s">
        <v>15</v>
      </c>
      <c r="D30" s="6">
        <f>D19*0.75</f>
        <v>47662.5</v>
      </c>
      <c r="E30" s="6">
        <f t="shared" ref="E30:H30" si="13">E19*0.75</f>
        <v>47662.5</v>
      </c>
      <c r="F30" s="6">
        <f t="shared" si="13"/>
        <v>47662.5</v>
      </c>
      <c r="G30" s="6">
        <f t="shared" si="13"/>
        <v>47662.5</v>
      </c>
      <c r="H30" s="6">
        <f t="shared" si="13"/>
        <v>47662.5</v>
      </c>
      <c r="I30" s="163"/>
    </row>
    <row r="31" spans="1:16" x14ac:dyDescent="0.2">
      <c r="A31" s="143"/>
      <c r="B31" s="133"/>
      <c r="C31" s="19" t="s">
        <v>11</v>
      </c>
      <c r="D31" s="6">
        <f t="shared" ref="D31:H31" si="14">D27</f>
        <v>15000</v>
      </c>
      <c r="E31" s="6">
        <f t="shared" si="14"/>
        <v>13000</v>
      </c>
      <c r="F31" s="6">
        <f t="shared" si="14"/>
        <v>11000</v>
      </c>
      <c r="G31" s="6">
        <f t="shared" si="14"/>
        <v>9000</v>
      </c>
      <c r="H31" s="7">
        <f t="shared" si="14"/>
        <v>7000</v>
      </c>
      <c r="I31" s="163"/>
    </row>
    <row r="32" spans="1:16" x14ac:dyDescent="0.2">
      <c r="A32" s="143"/>
      <c r="B32" s="133"/>
      <c r="C32" s="38" t="s">
        <v>47</v>
      </c>
      <c r="D32" s="33">
        <f>((D30-D31)*0.95)*2</f>
        <v>62058.75</v>
      </c>
      <c r="E32" s="33">
        <f t="shared" ref="E32:H32" si="15">((E30-E31)*0.95)*2</f>
        <v>65858.75</v>
      </c>
      <c r="F32" s="33">
        <f t="shared" si="15"/>
        <v>69658.75</v>
      </c>
      <c r="G32" s="33">
        <f t="shared" si="15"/>
        <v>73458.75</v>
      </c>
      <c r="H32" s="33">
        <f t="shared" si="15"/>
        <v>77258.75</v>
      </c>
      <c r="I32" s="163"/>
    </row>
    <row r="33" spans="1:10" x14ac:dyDescent="0.2">
      <c r="A33" s="143"/>
      <c r="B33" s="133"/>
      <c r="C33" s="40" t="s">
        <v>48</v>
      </c>
      <c r="D33" s="33">
        <f>(D30-D31)</f>
        <v>32662.5</v>
      </c>
      <c r="E33" s="33">
        <f t="shared" ref="E33:H33" si="16">(E30-E31)</f>
        <v>34662.5</v>
      </c>
      <c r="F33" s="33">
        <f t="shared" si="16"/>
        <v>36662.5</v>
      </c>
      <c r="G33" s="33">
        <f t="shared" si="16"/>
        <v>38662.5</v>
      </c>
      <c r="H33" s="33">
        <f t="shared" si="16"/>
        <v>40662.5</v>
      </c>
      <c r="I33" s="163"/>
    </row>
    <row r="34" spans="1:10" ht="16" customHeight="1" x14ac:dyDescent="0.2">
      <c r="A34" s="143"/>
      <c r="B34" s="147" t="s">
        <v>13</v>
      </c>
      <c r="C34" s="148"/>
      <c r="D34" s="33">
        <f t="shared" ref="D34:H34" si="17">SUM(D28,D32)</f>
        <v>122051.25</v>
      </c>
      <c r="E34" s="33">
        <f t="shared" si="17"/>
        <v>129651.25</v>
      </c>
      <c r="F34" s="33">
        <f t="shared" si="17"/>
        <v>137251.25</v>
      </c>
      <c r="G34" s="33">
        <f t="shared" si="17"/>
        <v>144851.25</v>
      </c>
      <c r="H34" s="33">
        <f t="shared" si="17"/>
        <v>152451.25</v>
      </c>
      <c r="I34" s="163"/>
    </row>
    <row r="35" spans="1:10" ht="16" customHeight="1" x14ac:dyDescent="0.2">
      <c r="A35" s="167" t="s">
        <v>16</v>
      </c>
      <c r="B35" s="168"/>
      <c r="C35" s="168"/>
      <c r="D35" s="168"/>
      <c r="E35" s="168"/>
      <c r="F35" s="168"/>
      <c r="G35" s="168"/>
      <c r="H35" s="168"/>
      <c r="I35" s="169"/>
    </row>
    <row r="36" spans="1:10" ht="16" customHeight="1" x14ac:dyDescent="0.2">
      <c r="A36" s="170"/>
      <c r="B36" s="171"/>
      <c r="C36" s="171"/>
      <c r="D36" s="171"/>
      <c r="E36" s="171"/>
      <c r="F36" s="171"/>
      <c r="G36" s="171"/>
      <c r="H36" s="171"/>
      <c r="I36" s="172"/>
    </row>
    <row r="37" spans="1:10" ht="16" customHeight="1" x14ac:dyDescent="0.2">
      <c r="A37" s="173"/>
      <c r="B37" s="174"/>
      <c r="C37" s="174"/>
      <c r="D37" s="174"/>
      <c r="E37" s="174"/>
      <c r="F37" s="174"/>
      <c r="G37" s="174"/>
      <c r="H37" s="174"/>
      <c r="I37" s="175"/>
    </row>
    <row r="38" spans="1:10" ht="16" customHeight="1" x14ac:dyDescent="0.2">
      <c r="A38" s="22" t="s">
        <v>17</v>
      </c>
      <c r="B38" s="23"/>
      <c r="C38" s="139" t="s">
        <v>18</v>
      </c>
      <c r="D38" s="139"/>
      <c r="E38" s="55">
        <v>5000</v>
      </c>
      <c r="F38" s="165"/>
      <c r="G38" s="165"/>
      <c r="H38" s="165"/>
      <c r="I38" s="165"/>
      <c r="J38" s="165"/>
    </row>
    <row r="39" spans="1:10" ht="17" customHeight="1" x14ac:dyDescent="0.2">
      <c r="A39" s="22"/>
      <c r="B39" s="23"/>
      <c r="C39" s="116" t="s">
        <v>19</v>
      </c>
      <c r="D39" s="116"/>
      <c r="E39" s="55">
        <v>3000</v>
      </c>
      <c r="F39" s="165"/>
      <c r="G39" s="165"/>
      <c r="H39" s="165"/>
      <c r="I39" s="165"/>
      <c r="J39" s="165"/>
    </row>
    <row r="40" spans="1:10" x14ac:dyDescent="0.2">
      <c r="A40" s="22"/>
      <c r="B40" s="23"/>
      <c r="C40" s="166" t="s">
        <v>20</v>
      </c>
      <c r="D40" s="166"/>
      <c r="E40" s="56">
        <v>3000</v>
      </c>
      <c r="F40" s="165"/>
      <c r="G40" s="165"/>
      <c r="H40" s="165"/>
      <c r="I40" s="165"/>
      <c r="J40" s="165"/>
    </row>
    <row r="41" spans="1:10" ht="46" customHeight="1" x14ac:dyDescent="0.2">
      <c r="A41" s="26" t="s">
        <v>21</v>
      </c>
      <c r="B41" s="26" t="s">
        <v>22</v>
      </c>
      <c r="C41" s="27" t="s">
        <v>23</v>
      </c>
      <c r="D41" s="27" t="s">
        <v>24</v>
      </c>
      <c r="E41" s="27" t="s">
        <v>25</v>
      </c>
      <c r="F41" s="27" t="s">
        <v>26</v>
      </c>
      <c r="G41" s="26" t="s">
        <v>27</v>
      </c>
      <c r="H41" s="26" t="s">
        <v>29</v>
      </c>
    </row>
    <row r="42" spans="1:10" ht="16" customHeight="1" x14ac:dyDescent="0.2">
      <c r="A42" s="21" t="s">
        <v>30</v>
      </c>
      <c r="B42" s="11">
        <f>B43*2</f>
        <v>9000</v>
      </c>
      <c r="C42" s="11">
        <f t="shared" ref="C42:G42" si="18">C43*2</f>
        <v>7000</v>
      </c>
      <c r="D42" s="11">
        <v>1000</v>
      </c>
      <c r="E42" s="11">
        <f t="shared" si="18"/>
        <v>1500</v>
      </c>
      <c r="F42" s="11">
        <f t="shared" si="18"/>
        <v>1000</v>
      </c>
      <c r="G42" s="11">
        <f t="shared" si="18"/>
        <v>1000</v>
      </c>
      <c r="H42" s="11">
        <f>SUM(B42:G42)</f>
        <v>20500</v>
      </c>
    </row>
    <row r="43" spans="1:10" ht="33" customHeight="1" x14ac:dyDescent="0.2">
      <c r="A43" s="21" t="s">
        <v>31</v>
      </c>
      <c r="B43" s="11">
        <v>4500</v>
      </c>
      <c r="C43" s="11">
        <v>3500</v>
      </c>
      <c r="D43" s="28">
        <v>1000</v>
      </c>
      <c r="E43" s="28">
        <v>750</v>
      </c>
      <c r="F43" s="28">
        <v>500</v>
      </c>
      <c r="G43" s="11">
        <v>500</v>
      </c>
      <c r="H43" s="11">
        <f>SUM(B43:G43)</f>
        <v>10750</v>
      </c>
    </row>
    <row r="44" spans="1:10" ht="15" customHeight="1" x14ac:dyDescent="0.2">
      <c r="A44" s="140" t="s">
        <v>45</v>
      </c>
      <c r="B44" s="140"/>
      <c r="C44" s="140"/>
      <c r="D44" s="140"/>
      <c r="E44" s="140"/>
      <c r="F44" s="140"/>
      <c r="G44" s="140"/>
      <c r="H44" s="140"/>
    </row>
    <row r="45" spans="1:10" ht="22" customHeight="1" x14ac:dyDescent="0.2">
      <c r="A45" s="140" t="s">
        <v>46</v>
      </c>
      <c r="B45" s="140"/>
      <c r="C45" s="140"/>
      <c r="D45" s="140"/>
      <c r="E45" s="140"/>
      <c r="F45" s="140"/>
      <c r="G45" s="140"/>
      <c r="H45" s="140"/>
    </row>
    <row r="46" spans="1:10" ht="49" customHeight="1" x14ac:dyDescent="0.2">
      <c r="A46" s="141" t="s">
        <v>43</v>
      </c>
      <c r="B46" s="141"/>
      <c r="C46" s="141"/>
      <c r="D46" s="141"/>
      <c r="E46" s="141"/>
      <c r="F46" s="141"/>
      <c r="G46" s="141"/>
      <c r="H46" s="141"/>
    </row>
    <row r="47" spans="1:10" ht="21" customHeight="1" x14ac:dyDescent="0.2">
      <c r="A47" s="140" t="s">
        <v>32</v>
      </c>
      <c r="B47" s="140"/>
      <c r="C47" s="140"/>
      <c r="D47" s="140"/>
      <c r="E47" s="140"/>
      <c r="F47" s="140"/>
      <c r="G47" s="140"/>
      <c r="H47" s="140"/>
    </row>
    <row r="50" ht="28" customHeight="1" x14ac:dyDescent="0.2"/>
    <row r="51" ht="13.5" customHeight="1" x14ac:dyDescent="0.2"/>
    <row r="53" ht="28.75" customHeight="1" x14ac:dyDescent="0.2"/>
    <row r="54" ht="39" customHeight="1" x14ac:dyDescent="0.2"/>
  </sheetData>
  <mergeCells count="20">
    <mergeCell ref="A1:I10"/>
    <mergeCell ref="A13:A24"/>
    <mergeCell ref="I13:I34"/>
    <mergeCell ref="B14:B18"/>
    <mergeCell ref="B19:B23"/>
    <mergeCell ref="B24:C24"/>
    <mergeCell ref="A26:A34"/>
    <mergeCell ref="B26:B29"/>
    <mergeCell ref="B30:B33"/>
    <mergeCell ref="A11:I12"/>
    <mergeCell ref="A47:H47"/>
    <mergeCell ref="B34:C34"/>
    <mergeCell ref="C38:D38"/>
    <mergeCell ref="F38:J40"/>
    <mergeCell ref="C39:D39"/>
    <mergeCell ref="C40:D40"/>
    <mergeCell ref="A44:H44"/>
    <mergeCell ref="A45:H45"/>
    <mergeCell ref="A46:H46"/>
    <mergeCell ref="A35:I37"/>
  </mergeCells>
  <pageMargins left="0.7" right="0.7" top="0.75" bottom="0.75" header="0.3" footer="0.3"/>
  <pageSetup paperSize="9" scale="4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CD64A-0EB4-2945-890D-4064C1932E95}">
  <dimension ref="A1:K35"/>
  <sheetViews>
    <sheetView workbookViewId="0">
      <selection activeCell="F12" sqref="F12"/>
    </sheetView>
  </sheetViews>
  <sheetFormatPr baseColWidth="10" defaultColWidth="18.83203125" defaultRowHeight="16" x14ac:dyDescent="0.2"/>
  <cols>
    <col min="2" max="2" width="22.33203125" bestFit="1" customWidth="1"/>
  </cols>
  <sheetData>
    <row r="1" spans="1:5" ht="16" customHeight="1" x14ac:dyDescent="0.2">
      <c r="A1" s="123" t="s">
        <v>92</v>
      </c>
      <c r="B1" s="123"/>
      <c r="C1" s="123"/>
      <c r="D1" s="123"/>
    </row>
    <row r="2" spans="1:5" x14ac:dyDescent="0.2">
      <c r="A2" s="123"/>
      <c r="B2" s="123"/>
      <c r="C2" s="123"/>
      <c r="D2" s="123"/>
    </row>
    <row r="3" spans="1:5" x14ac:dyDescent="0.2">
      <c r="A3" s="123"/>
      <c r="B3" s="123"/>
      <c r="C3" s="123"/>
      <c r="D3" s="123"/>
    </row>
    <row r="4" spans="1:5" ht="46" customHeight="1" x14ac:dyDescent="0.2">
      <c r="A4" s="123"/>
      <c r="B4" s="123"/>
      <c r="C4" s="123"/>
      <c r="D4" s="123"/>
    </row>
    <row r="5" spans="1:5" ht="27" customHeight="1" thickBot="1" x14ac:dyDescent="0.25">
      <c r="A5" s="75" t="s">
        <v>87</v>
      </c>
      <c r="B5" s="2" t="s">
        <v>2</v>
      </c>
      <c r="C5" s="3" t="s">
        <v>64</v>
      </c>
      <c r="D5" s="189" t="s">
        <v>9</v>
      </c>
    </row>
    <row r="6" spans="1:5" ht="36" x14ac:dyDescent="0.2">
      <c r="A6" s="126" t="s">
        <v>38</v>
      </c>
      <c r="B6" s="44" t="s">
        <v>88</v>
      </c>
      <c r="C6" s="76">
        <v>29300</v>
      </c>
      <c r="D6" s="189"/>
    </row>
    <row r="7" spans="1:5" x14ac:dyDescent="0.2">
      <c r="A7" s="126"/>
      <c r="B7" s="77" t="s">
        <v>47</v>
      </c>
      <c r="C7" s="78">
        <f>(C6)*2*0.95</f>
        <v>55670</v>
      </c>
      <c r="D7" s="189"/>
    </row>
    <row r="8" spans="1:5" x14ac:dyDescent="0.2">
      <c r="A8" s="126"/>
      <c r="B8" s="77" t="s">
        <v>48</v>
      </c>
      <c r="C8" s="78">
        <f>(C6)</f>
        <v>29300</v>
      </c>
      <c r="D8" s="189"/>
    </row>
    <row r="9" spans="1:5" ht="36" x14ac:dyDescent="0.2">
      <c r="A9" s="126" t="s">
        <v>89</v>
      </c>
      <c r="B9" s="44" t="s">
        <v>88</v>
      </c>
      <c r="C9" s="6">
        <v>30000</v>
      </c>
      <c r="D9" s="189"/>
    </row>
    <row r="10" spans="1:5" ht="16" customHeight="1" x14ac:dyDescent="0.2">
      <c r="A10" s="126"/>
      <c r="B10" s="77" t="s">
        <v>47</v>
      </c>
      <c r="C10" s="78">
        <f>(C9)*2*0.95</f>
        <v>57000</v>
      </c>
      <c r="D10" s="189"/>
    </row>
    <row r="11" spans="1:5" x14ac:dyDescent="0.2">
      <c r="A11" s="126"/>
      <c r="B11" s="77" t="s">
        <v>48</v>
      </c>
      <c r="C11" s="78">
        <f>(C9)</f>
        <v>30000</v>
      </c>
      <c r="D11" s="189"/>
    </row>
    <row r="12" spans="1:5" ht="36" x14ac:dyDescent="0.2">
      <c r="A12" s="126" t="s">
        <v>90</v>
      </c>
      <c r="B12" s="44" t="s">
        <v>88</v>
      </c>
      <c r="C12" s="6">
        <f>C9*1.05</f>
        <v>31500</v>
      </c>
      <c r="D12" s="189"/>
    </row>
    <row r="13" spans="1:5" x14ac:dyDescent="0.2">
      <c r="A13" s="126"/>
      <c r="B13" s="77" t="s">
        <v>47</v>
      </c>
      <c r="C13" s="78">
        <f>(C12)*2*0.95</f>
        <v>59850</v>
      </c>
      <c r="D13" s="189"/>
    </row>
    <row r="14" spans="1:5" ht="17" customHeight="1" thickBot="1" x14ac:dyDescent="0.25">
      <c r="A14" s="126"/>
      <c r="B14" s="77" t="s">
        <v>48</v>
      </c>
      <c r="C14" s="78">
        <f>(C12)</f>
        <v>31500</v>
      </c>
      <c r="D14" s="189"/>
    </row>
    <row r="15" spans="1:5" ht="17" thickBot="1" x14ac:dyDescent="0.25">
      <c r="A15" s="79" t="s">
        <v>13</v>
      </c>
      <c r="B15" s="80"/>
      <c r="C15" s="47">
        <f>SUM(C7,C10,C13)</f>
        <v>172520</v>
      </c>
      <c r="D15" s="190"/>
    </row>
    <row r="16" spans="1:5" ht="27" customHeight="1" x14ac:dyDescent="0.2">
      <c r="A16" s="81" t="s">
        <v>17</v>
      </c>
      <c r="B16" s="82"/>
      <c r="C16" s="191" t="s">
        <v>18</v>
      </c>
      <c r="D16" s="192"/>
      <c r="E16" s="83">
        <v>5000</v>
      </c>
    </row>
    <row r="17" spans="1:11" x14ac:dyDescent="0.2">
      <c r="A17" s="22"/>
      <c r="B17" s="84"/>
      <c r="C17" s="187" t="s">
        <v>19</v>
      </c>
      <c r="D17" s="116"/>
      <c r="E17" s="85">
        <v>3000</v>
      </c>
    </row>
    <row r="18" spans="1:11" ht="17" thickBot="1" x14ac:dyDescent="0.25">
      <c r="A18" s="42"/>
      <c r="B18" s="86"/>
      <c r="C18" s="188" t="s">
        <v>20</v>
      </c>
      <c r="D18" s="166"/>
      <c r="E18" s="87">
        <v>3000</v>
      </c>
    </row>
    <row r="19" spans="1:11" ht="25" thickBot="1" x14ac:dyDescent="0.25">
      <c r="A19" s="14" t="s">
        <v>21</v>
      </c>
      <c r="B19" s="14" t="s">
        <v>22</v>
      </c>
      <c r="C19" s="88" t="s">
        <v>23</v>
      </c>
      <c r="D19" s="88" t="s">
        <v>24</v>
      </c>
      <c r="E19" s="88" t="s">
        <v>25</v>
      </c>
      <c r="F19" s="88" t="s">
        <v>26</v>
      </c>
      <c r="G19" s="14" t="s">
        <v>27</v>
      </c>
      <c r="H19" s="14" t="s">
        <v>29</v>
      </c>
    </row>
    <row r="20" spans="1:11" ht="17" thickBot="1" x14ac:dyDescent="0.25">
      <c r="A20" s="89" t="s">
        <v>30</v>
      </c>
      <c r="B20" s="90">
        <f>B21*2</f>
        <v>7000</v>
      </c>
      <c r="C20" s="90">
        <f t="shared" ref="C20:G20" si="0">C21*2</f>
        <v>5000</v>
      </c>
      <c r="D20" s="91">
        <f>D21</f>
        <v>1000</v>
      </c>
      <c r="E20" s="90">
        <f t="shared" si="0"/>
        <v>1500</v>
      </c>
      <c r="F20" s="90">
        <f t="shared" si="0"/>
        <v>1000</v>
      </c>
      <c r="G20" s="90">
        <f t="shared" si="0"/>
        <v>1000</v>
      </c>
      <c r="H20" s="92">
        <f>SUM(B20:G20)</f>
        <v>16500</v>
      </c>
    </row>
    <row r="21" spans="1:11" x14ac:dyDescent="0.2">
      <c r="A21" s="93" t="s">
        <v>31</v>
      </c>
      <c r="B21" s="94">
        <v>3500</v>
      </c>
      <c r="C21" s="94">
        <v>2500</v>
      </c>
      <c r="D21" s="95">
        <v>1000</v>
      </c>
      <c r="E21" s="95">
        <v>750</v>
      </c>
      <c r="F21" s="95">
        <v>500</v>
      </c>
      <c r="G21" s="94">
        <v>500</v>
      </c>
      <c r="H21" s="53">
        <f>SUM(B21:G21)</f>
        <v>8750</v>
      </c>
    </row>
    <row r="22" spans="1:11" x14ac:dyDescent="0.2">
      <c r="A22" s="96" t="s">
        <v>32</v>
      </c>
      <c r="B22" s="74"/>
      <c r="C22" s="74"/>
      <c r="D22" s="74"/>
      <c r="E22" s="74"/>
      <c r="F22" s="74"/>
      <c r="G22" s="74"/>
      <c r="H22" s="97"/>
    </row>
    <row r="23" spans="1:11" ht="17" thickBot="1" x14ac:dyDescent="0.25">
      <c r="A23" s="98" t="s">
        <v>91</v>
      </c>
      <c r="B23" s="99"/>
      <c r="C23" s="99"/>
      <c r="D23" s="99"/>
      <c r="E23" s="99"/>
      <c r="F23" s="99"/>
      <c r="G23" s="99"/>
      <c r="H23" s="100"/>
    </row>
    <row r="24" spans="1:11" x14ac:dyDescent="0.2">
      <c r="A24" s="101"/>
      <c r="B24" s="101"/>
    </row>
    <row r="25" spans="1:11" x14ac:dyDescent="0.2">
      <c r="A25" s="101"/>
      <c r="B25" s="101"/>
    </row>
    <row r="26" spans="1:11" x14ac:dyDescent="0.2">
      <c r="A26" s="101"/>
      <c r="B26" s="101"/>
    </row>
    <row r="27" spans="1:11" x14ac:dyDescent="0.2">
      <c r="A27" s="101"/>
      <c r="B27" s="101"/>
    </row>
    <row r="28" spans="1:11" x14ac:dyDescent="0.2">
      <c r="A28" s="101"/>
      <c r="B28" s="101"/>
    </row>
    <row r="32" spans="1:11" x14ac:dyDescent="0.2">
      <c r="J32" s="101"/>
      <c r="K32" s="101"/>
    </row>
    <row r="33" spans="10:11" x14ac:dyDescent="0.2">
      <c r="J33" s="101"/>
      <c r="K33" s="101"/>
    </row>
    <row r="34" spans="10:11" x14ac:dyDescent="0.2">
      <c r="J34" s="101"/>
      <c r="K34" s="101"/>
    </row>
    <row r="35" spans="10:11" x14ac:dyDescent="0.2">
      <c r="J35" s="101"/>
      <c r="K35" s="101"/>
    </row>
  </sheetData>
  <mergeCells count="8">
    <mergeCell ref="C17:D17"/>
    <mergeCell ref="C18:D18"/>
    <mergeCell ref="A1:D4"/>
    <mergeCell ref="D5:D15"/>
    <mergeCell ref="A6:A8"/>
    <mergeCell ref="A9:A11"/>
    <mergeCell ref="A12:A14"/>
    <mergeCell ref="C16:D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E8439-3975-444D-9F49-DD521045AC87}">
  <sheetPr>
    <pageSetUpPr fitToPage="1"/>
  </sheetPr>
  <dimension ref="A1:Z72"/>
  <sheetViews>
    <sheetView topLeftCell="C16" zoomScale="125" workbookViewId="0">
      <selection activeCell="A69" sqref="A69"/>
    </sheetView>
  </sheetViews>
  <sheetFormatPr baseColWidth="10" defaultColWidth="8.83203125" defaultRowHeight="16" x14ac:dyDescent="0.2"/>
  <cols>
    <col min="1" max="1" width="17.33203125" customWidth="1"/>
    <col min="2" max="2" width="23" bestFit="1" customWidth="1"/>
    <col min="3" max="3" width="41.1640625" bestFit="1" customWidth="1"/>
    <col min="4" max="4" width="16.83203125" customWidth="1"/>
    <col min="5" max="5" width="15.1640625" customWidth="1"/>
    <col min="6" max="6" width="14.83203125" customWidth="1"/>
    <col min="7" max="7" width="18.1640625" customWidth="1"/>
    <col min="8" max="12" width="16.6640625" customWidth="1"/>
  </cols>
  <sheetData>
    <row r="1" spans="1:15" x14ac:dyDescent="0.2">
      <c r="A1" s="119"/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5" x14ac:dyDescent="0.2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</row>
    <row r="3" spans="1:15" x14ac:dyDescent="0.2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</row>
    <row r="4" spans="1:15" x14ac:dyDescent="0.2">
      <c r="A4" s="119"/>
      <c r="B4" s="119"/>
      <c r="C4" s="119"/>
      <c r="D4" s="119"/>
      <c r="E4" s="119"/>
      <c r="F4" s="119"/>
      <c r="G4" s="119"/>
      <c r="H4" s="119"/>
      <c r="I4" s="119"/>
      <c r="J4" s="119"/>
      <c r="K4" s="119"/>
    </row>
    <row r="5" spans="1:15" x14ac:dyDescent="0.2">
      <c r="A5" s="119"/>
      <c r="B5" s="119"/>
      <c r="C5" s="119"/>
      <c r="D5" s="119"/>
      <c r="E5" s="119"/>
      <c r="F5" s="119"/>
      <c r="G5" s="119"/>
      <c r="H5" s="119"/>
      <c r="I5" s="119"/>
      <c r="J5" s="119"/>
      <c r="K5" s="119"/>
    </row>
    <row r="6" spans="1:15" x14ac:dyDescent="0.2">
      <c r="A6" s="119"/>
      <c r="B6" s="119"/>
      <c r="C6" s="119"/>
      <c r="D6" s="119"/>
      <c r="E6" s="119"/>
      <c r="F6" s="119"/>
      <c r="G6" s="119"/>
      <c r="H6" s="119"/>
      <c r="I6" s="119"/>
      <c r="J6" s="119"/>
      <c r="K6" s="119"/>
    </row>
    <row r="7" spans="1:15" x14ac:dyDescent="0.2">
      <c r="A7" s="119"/>
      <c r="B7" s="119"/>
      <c r="C7" s="119"/>
      <c r="D7" s="119"/>
      <c r="E7" s="119"/>
      <c r="F7" s="119"/>
      <c r="G7" s="119"/>
      <c r="H7" s="119"/>
      <c r="I7" s="119"/>
      <c r="J7" s="119"/>
      <c r="K7" s="119"/>
    </row>
    <row r="8" spans="1:15" x14ac:dyDescent="0.2">
      <c r="A8" s="119"/>
      <c r="B8" s="119"/>
      <c r="C8" s="119"/>
      <c r="D8" s="119"/>
      <c r="E8" s="119"/>
      <c r="F8" s="119"/>
      <c r="G8" s="119"/>
      <c r="H8" s="119"/>
      <c r="I8" s="119"/>
      <c r="J8" s="119"/>
      <c r="K8" s="119"/>
    </row>
    <row r="9" spans="1:15" x14ac:dyDescent="0.2">
      <c r="A9" s="119"/>
      <c r="B9" s="119"/>
      <c r="C9" s="119"/>
      <c r="D9" s="119"/>
      <c r="E9" s="119"/>
      <c r="F9" s="119"/>
      <c r="G9" s="119"/>
      <c r="H9" s="119"/>
      <c r="I9" s="119"/>
      <c r="J9" s="119"/>
      <c r="K9" s="119"/>
    </row>
    <row r="10" spans="1:15" x14ac:dyDescent="0.2">
      <c r="A10" s="119"/>
      <c r="B10" s="119"/>
      <c r="C10" s="119"/>
      <c r="D10" s="119"/>
      <c r="E10" s="119"/>
      <c r="F10" s="119"/>
      <c r="G10" s="119"/>
      <c r="H10" s="119"/>
      <c r="I10" s="119"/>
      <c r="J10" s="119"/>
      <c r="K10" s="119"/>
    </row>
    <row r="11" spans="1:15" ht="14.5" customHeight="1" x14ac:dyDescent="0.2">
      <c r="A11" s="151" t="s">
        <v>75</v>
      </c>
      <c r="B11" s="152"/>
      <c r="C11" s="152"/>
      <c r="D11" s="152"/>
      <c r="E11" s="152"/>
      <c r="F11" s="152"/>
      <c r="G11" s="152"/>
      <c r="H11" s="152"/>
      <c r="I11" s="152"/>
      <c r="J11" s="152"/>
      <c r="K11" s="152"/>
    </row>
    <row r="12" spans="1:15" ht="14.5" customHeight="1" x14ac:dyDescent="0.2">
      <c r="A12" s="154"/>
      <c r="B12" s="155"/>
      <c r="C12" s="155"/>
      <c r="D12" s="155"/>
      <c r="E12" s="155"/>
      <c r="F12" s="155"/>
      <c r="G12" s="155"/>
      <c r="H12" s="155"/>
      <c r="I12" s="155"/>
      <c r="J12" s="155"/>
      <c r="K12" s="155"/>
    </row>
    <row r="13" spans="1:15" ht="14.5" customHeight="1" x14ac:dyDescent="0.2">
      <c r="A13" s="154"/>
      <c r="B13" s="155"/>
      <c r="C13" s="155"/>
      <c r="D13" s="155"/>
      <c r="E13" s="155"/>
      <c r="F13" s="155"/>
      <c r="G13" s="155"/>
      <c r="H13" s="155"/>
      <c r="I13" s="155"/>
      <c r="J13" s="155"/>
      <c r="K13" s="155"/>
    </row>
    <row r="14" spans="1:15" ht="47.75" customHeight="1" x14ac:dyDescent="0.2">
      <c r="A14" s="157"/>
      <c r="B14" s="158"/>
      <c r="C14" s="158"/>
      <c r="D14" s="158"/>
      <c r="E14" s="158"/>
      <c r="F14" s="158"/>
      <c r="G14" s="158"/>
      <c r="H14" s="158"/>
      <c r="I14" s="158"/>
      <c r="J14" s="158"/>
      <c r="K14" s="158"/>
    </row>
    <row r="15" spans="1:15" ht="65" customHeight="1" thickBot="1" x14ac:dyDescent="0.25">
      <c r="A15" s="144" t="s">
        <v>0</v>
      </c>
      <c r="B15" s="1" t="s">
        <v>1</v>
      </c>
      <c r="C15" s="2" t="s">
        <v>2</v>
      </c>
      <c r="D15" s="3" t="s">
        <v>64</v>
      </c>
      <c r="E15" s="3" t="s">
        <v>65</v>
      </c>
      <c r="F15" s="3" t="s">
        <v>66</v>
      </c>
      <c r="G15" s="3" t="s">
        <v>67</v>
      </c>
      <c r="H15" s="3" t="s">
        <v>68</v>
      </c>
      <c r="I15" s="3" t="s">
        <v>69</v>
      </c>
      <c r="J15" s="3" t="s">
        <v>70</v>
      </c>
      <c r="K15" s="144" t="s">
        <v>9</v>
      </c>
    </row>
    <row r="16" spans="1:15" x14ac:dyDescent="0.2">
      <c r="A16" s="145"/>
      <c r="B16" s="132" t="s">
        <v>38</v>
      </c>
      <c r="C16" s="34" t="s">
        <v>10</v>
      </c>
      <c r="D16" s="6">
        <v>72100</v>
      </c>
      <c r="E16" s="6">
        <f>D16</f>
        <v>72100</v>
      </c>
      <c r="F16" s="6">
        <f t="shared" ref="F16:J16" si="0">E16</f>
        <v>72100</v>
      </c>
      <c r="G16" s="7">
        <f t="shared" si="0"/>
        <v>72100</v>
      </c>
      <c r="H16" s="7">
        <f t="shared" si="0"/>
        <v>72100</v>
      </c>
      <c r="I16" s="7">
        <f t="shared" si="0"/>
        <v>72100</v>
      </c>
      <c r="J16" s="7">
        <f t="shared" si="0"/>
        <v>72100</v>
      </c>
      <c r="K16" s="145"/>
      <c r="L16" s="24"/>
      <c r="M16" s="24"/>
      <c r="N16" s="24"/>
      <c r="O16" s="24"/>
    </row>
    <row r="17" spans="1:26" x14ac:dyDescent="0.2">
      <c r="A17" s="145"/>
      <c r="B17" s="133"/>
      <c r="C17" s="34" t="s">
        <v>11</v>
      </c>
      <c r="D17" s="6">
        <v>13000</v>
      </c>
      <c r="E17" s="6">
        <v>11000</v>
      </c>
      <c r="F17" s="6">
        <v>9000</v>
      </c>
      <c r="G17" s="7">
        <v>7000</v>
      </c>
      <c r="H17" s="7">
        <v>5000</v>
      </c>
      <c r="I17" s="7">
        <v>3000</v>
      </c>
      <c r="J17" s="7">
        <v>0</v>
      </c>
      <c r="K17" s="145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x14ac:dyDescent="0.2">
      <c r="A18" s="145"/>
      <c r="B18" s="133"/>
      <c r="C18" s="35" t="s">
        <v>44</v>
      </c>
      <c r="D18" s="30">
        <v>10500</v>
      </c>
      <c r="E18" s="30">
        <f>D18</f>
        <v>10500</v>
      </c>
      <c r="F18" s="30">
        <f t="shared" ref="F18:J18" si="1">E18</f>
        <v>10500</v>
      </c>
      <c r="G18" s="30">
        <f t="shared" si="1"/>
        <v>10500</v>
      </c>
      <c r="H18" s="30">
        <f t="shared" si="1"/>
        <v>10500</v>
      </c>
      <c r="I18" s="30">
        <f t="shared" si="1"/>
        <v>10500</v>
      </c>
      <c r="J18" s="30">
        <f t="shared" si="1"/>
        <v>10500</v>
      </c>
      <c r="K18" s="145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x14ac:dyDescent="0.2">
      <c r="A19" s="145"/>
      <c r="B19" s="133"/>
      <c r="C19" s="35" t="s">
        <v>47</v>
      </c>
      <c r="D19" s="30">
        <f>(((D16-D17)*0.95)*2)-D18*2</f>
        <v>91290</v>
      </c>
      <c r="E19" s="30">
        <f t="shared" ref="E19:J19" si="2">(((E16-E17)*0.95)*2)-E18*2</f>
        <v>95090</v>
      </c>
      <c r="F19" s="30">
        <f t="shared" si="2"/>
        <v>98890</v>
      </c>
      <c r="G19" s="30">
        <f t="shared" si="2"/>
        <v>102690</v>
      </c>
      <c r="H19" s="30">
        <f t="shared" si="2"/>
        <v>106490</v>
      </c>
      <c r="I19" s="30">
        <f t="shared" si="2"/>
        <v>110290</v>
      </c>
      <c r="J19" s="30">
        <f t="shared" si="2"/>
        <v>115990</v>
      </c>
      <c r="K19" s="145"/>
      <c r="L19" s="24"/>
      <c r="M19" s="24"/>
      <c r="N19" s="24"/>
      <c r="O19" s="24"/>
      <c r="P19" s="24"/>
      <c r="Q19" s="24"/>
    </row>
    <row r="20" spans="1:26" ht="17" thickBot="1" x14ac:dyDescent="0.25">
      <c r="A20" s="145"/>
      <c r="B20" s="133"/>
      <c r="C20" s="35" t="s">
        <v>48</v>
      </c>
      <c r="D20" s="30">
        <f>(D16-D17)-D18</f>
        <v>48600</v>
      </c>
      <c r="E20" s="30">
        <f t="shared" ref="E20:J20" si="3">(E16-E17)-E18</f>
        <v>50600</v>
      </c>
      <c r="F20" s="30">
        <f t="shared" si="3"/>
        <v>52600</v>
      </c>
      <c r="G20" s="30">
        <f t="shared" si="3"/>
        <v>54600</v>
      </c>
      <c r="H20" s="30">
        <f t="shared" si="3"/>
        <v>56600</v>
      </c>
      <c r="I20" s="30">
        <f t="shared" si="3"/>
        <v>58600</v>
      </c>
      <c r="J20" s="30">
        <f t="shared" si="3"/>
        <v>61600</v>
      </c>
      <c r="K20" s="145"/>
      <c r="L20" s="24"/>
      <c r="M20" s="24"/>
      <c r="N20" s="24"/>
      <c r="O20" s="24"/>
      <c r="P20" s="24"/>
      <c r="Q20" s="24"/>
      <c r="R20" s="24"/>
    </row>
    <row r="21" spans="1:26" ht="16" customHeight="1" x14ac:dyDescent="0.2">
      <c r="A21" s="145"/>
      <c r="B21" s="132" t="s">
        <v>39</v>
      </c>
      <c r="C21" s="34" t="s">
        <v>12</v>
      </c>
      <c r="D21" s="6">
        <v>74050</v>
      </c>
      <c r="E21" s="6">
        <f t="shared" ref="E21:H21" si="4">D21</f>
        <v>74050</v>
      </c>
      <c r="F21" s="6">
        <f t="shared" si="4"/>
        <v>74050</v>
      </c>
      <c r="G21" s="7">
        <f t="shared" si="4"/>
        <v>74050</v>
      </c>
      <c r="H21" s="7">
        <f t="shared" si="4"/>
        <v>74050</v>
      </c>
      <c r="I21" s="7">
        <f>H21</f>
        <v>74050</v>
      </c>
      <c r="J21" s="7">
        <f t="shared" ref="J21" si="5">I21</f>
        <v>74050</v>
      </c>
      <c r="K21" s="145"/>
    </row>
    <row r="22" spans="1:26" x14ac:dyDescent="0.2">
      <c r="A22" s="145"/>
      <c r="B22" s="133"/>
      <c r="C22" s="34" t="s">
        <v>11</v>
      </c>
      <c r="D22" s="6">
        <f t="shared" ref="D22:J22" si="6">D17</f>
        <v>13000</v>
      </c>
      <c r="E22" s="6">
        <f t="shared" si="6"/>
        <v>11000</v>
      </c>
      <c r="F22" s="6">
        <f t="shared" si="6"/>
        <v>9000</v>
      </c>
      <c r="G22" s="7">
        <f t="shared" si="6"/>
        <v>7000</v>
      </c>
      <c r="H22" s="7">
        <f t="shared" si="6"/>
        <v>5000</v>
      </c>
      <c r="I22" s="7">
        <f t="shared" si="6"/>
        <v>3000</v>
      </c>
      <c r="J22" s="7">
        <f t="shared" si="6"/>
        <v>0</v>
      </c>
      <c r="K22" s="145"/>
      <c r="L22" s="24"/>
      <c r="M22" s="24"/>
      <c r="N22" s="24"/>
      <c r="O22" s="24"/>
      <c r="P22" s="24"/>
      <c r="Q22" s="24"/>
      <c r="R22" s="24"/>
    </row>
    <row r="23" spans="1:26" x14ac:dyDescent="0.2">
      <c r="A23" s="145"/>
      <c r="B23" s="133"/>
      <c r="C23" s="36" t="s">
        <v>44</v>
      </c>
      <c r="D23" s="31">
        <f>D18</f>
        <v>10500</v>
      </c>
      <c r="E23" s="31">
        <f>D23</f>
        <v>10500</v>
      </c>
      <c r="F23" s="31">
        <f t="shared" ref="F23:J23" si="7">E23</f>
        <v>10500</v>
      </c>
      <c r="G23" s="31">
        <f t="shared" si="7"/>
        <v>10500</v>
      </c>
      <c r="H23" s="31">
        <f t="shared" si="7"/>
        <v>10500</v>
      </c>
      <c r="I23" s="31">
        <f t="shared" si="7"/>
        <v>10500</v>
      </c>
      <c r="J23" s="31">
        <f t="shared" si="7"/>
        <v>10500</v>
      </c>
      <c r="K23" s="145"/>
      <c r="L23" s="24"/>
      <c r="M23" s="24"/>
      <c r="N23" s="24"/>
      <c r="O23" s="24"/>
      <c r="P23" s="24"/>
      <c r="Q23" s="24"/>
      <c r="R23" s="24"/>
    </row>
    <row r="24" spans="1:26" x14ac:dyDescent="0.2">
      <c r="A24" s="145"/>
      <c r="B24" s="133"/>
      <c r="C24" s="36" t="s">
        <v>47</v>
      </c>
      <c r="D24" s="31">
        <f>(((D21-D22)*0.95)*2)-D23*2</f>
        <v>94995</v>
      </c>
      <c r="E24" s="31">
        <f t="shared" ref="E24:J24" si="8">(((E21-E22)*0.95)*2)-E23*2</f>
        <v>98795</v>
      </c>
      <c r="F24" s="31">
        <f t="shared" si="8"/>
        <v>102595</v>
      </c>
      <c r="G24" s="31">
        <f t="shared" si="8"/>
        <v>106395</v>
      </c>
      <c r="H24" s="31">
        <f t="shared" si="8"/>
        <v>110195</v>
      </c>
      <c r="I24" s="31">
        <f t="shared" si="8"/>
        <v>113995</v>
      </c>
      <c r="J24" s="31">
        <f t="shared" si="8"/>
        <v>119695</v>
      </c>
      <c r="K24" s="145"/>
    </row>
    <row r="25" spans="1:26" ht="17" thickBot="1" x14ac:dyDescent="0.25">
      <c r="A25" s="145"/>
      <c r="B25" s="133"/>
      <c r="C25" s="36" t="s">
        <v>48</v>
      </c>
      <c r="D25" s="31">
        <f>(D21-D22)-D23</f>
        <v>50550</v>
      </c>
      <c r="E25" s="31">
        <f t="shared" ref="E25:J25" si="9">(E21-E22)-E23</f>
        <v>52550</v>
      </c>
      <c r="F25" s="31">
        <f t="shared" si="9"/>
        <v>54550</v>
      </c>
      <c r="G25" s="31">
        <f t="shared" si="9"/>
        <v>56550</v>
      </c>
      <c r="H25" s="31">
        <f t="shared" si="9"/>
        <v>58550</v>
      </c>
      <c r="I25" s="31">
        <f t="shared" si="9"/>
        <v>60550</v>
      </c>
      <c r="J25" s="31">
        <f t="shared" si="9"/>
        <v>63550</v>
      </c>
      <c r="K25" s="145"/>
    </row>
    <row r="26" spans="1:26" x14ac:dyDescent="0.2">
      <c r="A26" s="145"/>
      <c r="B26" s="132" t="s">
        <v>40</v>
      </c>
      <c r="C26" s="34" t="s">
        <v>12</v>
      </c>
      <c r="D26" s="6">
        <f>D21*1.05</f>
        <v>77752.5</v>
      </c>
      <c r="E26" s="6">
        <f t="shared" ref="E26:H26" si="10">D26</f>
        <v>77752.5</v>
      </c>
      <c r="F26" s="6">
        <f t="shared" si="10"/>
        <v>77752.5</v>
      </c>
      <c r="G26" s="7">
        <f t="shared" si="10"/>
        <v>77752.5</v>
      </c>
      <c r="H26" s="7">
        <f t="shared" si="10"/>
        <v>77752.5</v>
      </c>
      <c r="I26" s="7">
        <f>I21*1.05</f>
        <v>77752.5</v>
      </c>
      <c r="J26" s="7">
        <f t="shared" ref="J26" si="11">I26</f>
        <v>77752.5</v>
      </c>
      <c r="K26" s="145"/>
    </row>
    <row r="27" spans="1:26" x14ac:dyDescent="0.2">
      <c r="A27" s="145"/>
      <c r="B27" s="133"/>
      <c r="C27" s="34" t="s">
        <v>11</v>
      </c>
      <c r="D27" s="6">
        <f t="shared" ref="D27:J27" si="12">D22</f>
        <v>13000</v>
      </c>
      <c r="E27" s="6">
        <f t="shared" si="12"/>
        <v>11000</v>
      </c>
      <c r="F27" s="6">
        <f t="shared" si="12"/>
        <v>9000</v>
      </c>
      <c r="G27" s="7">
        <f t="shared" si="12"/>
        <v>7000</v>
      </c>
      <c r="H27" s="7">
        <f t="shared" si="12"/>
        <v>5000</v>
      </c>
      <c r="I27" s="7">
        <f t="shared" si="12"/>
        <v>3000</v>
      </c>
      <c r="J27" s="7">
        <f t="shared" si="12"/>
        <v>0</v>
      </c>
      <c r="K27" s="145"/>
    </row>
    <row r="28" spans="1:26" x14ac:dyDescent="0.2">
      <c r="A28" s="145"/>
      <c r="B28" s="133"/>
      <c r="C28" s="37" t="s">
        <v>44</v>
      </c>
      <c r="D28" s="32">
        <f>D23</f>
        <v>10500</v>
      </c>
      <c r="E28" s="32">
        <f>D28</f>
        <v>10500</v>
      </c>
      <c r="F28" s="32">
        <f t="shared" ref="F28:J28" si="13">E28</f>
        <v>10500</v>
      </c>
      <c r="G28" s="32">
        <f t="shared" si="13"/>
        <v>10500</v>
      </c>
      <c r="H28" s="32">
        <f t="shared" si="13"/>
        <v>10500</v>
      </c>
      <c r="I28" s="32">
        <f t="shared" si="13"/>
        <v>10500</v>
      </c>
      <c r="J28" s="32">
        <f t="shared" si="13"/>
        <v>10500</v>
      </c>
      <c r="K28" s="145"/>
    </row>
    <row r="29" spans="1:26" x14ac:dyDescent="0.2">
      <c r="A29" s="145"/>
      <c r="B29" s="133"/>
      <c r="C29" s="37" t="s">
        <v>47</v>
      </c>
      <c r="D29" s="32">
        <f>(((D26-D27)*0.95)*2)-D28*2</f>
        <v>102029.75</v>
      </c>
      <c r="E29" s="32">
        <f t="shared" ref="E29:J29" si="14">(((E26-E27)*0.95)*2)-E28*2</f>
        <v>105829.75</v>
      </c>
      <c r="F29" s="32">
        <f t="shared" si="14"/>
        <v>109629.75</v>
      </c>
      <c r="G29" s="32">
        <f t="shared" si="14"/>
        <v>113429.75</v>
      </c>
      <c r="H29" s="32">
        <f t="shared" si="14"/>
        <v>117229.75</v>
      </c>
      <c r="I29" s="32">
        <f t="shared" si="14"/>
        <v>121029.75</v>
      </c>
      <c r="J29" s="32">
        <f t="shared" si="14"/>
        <v>126729.75</v>
      </c>
      <c r="K29" s="145"/>
    </row>
    <row r="30" spans="1:26" ht="17" thickBot="1" x14ac:dyDescent="0.25">
      <c r="A30" s="145"/>
      <c r="B30" s="133"/>
      <c r="C30" s="37" t="s">
        <v>48</v>
      </c>
      <c r="D30" s="32">
        <f>(D26-D27)-D28</f>
        <v>54252.5</v>
      </c>
      <c r="E30" s="32">
        <f t="shared" ref="E30:J30" si="15">(E26-E27)-E28</f>
        <v>56252.5</v>
      </c>
      <c r="F30" s="32">
        <f t="shared" si="15"/>
        <v>58252.5</v>
      </c>
      <c r="G30" s="32">
        <f t="shared" si="15"/>
        <v>60252.5</v>
      </c>
      <c r="H30" s="32">
        <f t="shared" si="15"/>
        <v>62252.5</v>
      </c>
      <c r="I30" s="32">
        <f t="shared" si="15"/>
        <v>64252.5</v>
      </c>
      <c r="J30" s="32">
        <f t="shared" si="15"/>
        <v>67252.5</v>
      </c>
      <c r="K30" s="145"/>
    </row>
    <row r="31" spans="1:26" x14ac:dyDescent="0.2">
      <c r="A31" s="145"/>
      <c r="B31" s="132" t="s">
        <v>41</v>
      </c>
      <c r="C31" s="34" t="s">
        <v>12</v>
      </c>
      <c r="D31" s="6">
        <f>D26*1.05</f>
        <v>81640.125</v>
      </c>
      <c r="E31" s="6">
        <f t="shared" ref="E31:H31" si="16">D31</f>
        <v>81640.125</v>
      </c>
      <c r="F31" s="6">
        <f t="shared" si="16"/>
        <v>81640.125</v>
      </c>
      <c r="G31" s="7">
        <f t="shared" si="16"/>
        <v>81640.125</v>
      </c>
      <c r="H31" s="7">
        <f t="shared" si="16"/>
        <v>81640.125</v>
      </c>
      <c r="I31" s="7">
        <f>I26*1.05</f>
        <v>81640.125</v>
      </c>
      <c r="J31" s="7">
        <f t="shared" ref="J31" si="17">I31</f>
        <v>81640.125</v>
      </c>
      <c r="K31" s="145"/>
    </row>
    <row r="32" spans="1:26" x14ac:dyDescent="0.2">
      <c r="A32" s="145"/>
      <c r="B32" s="133"/>
      <c r="C32" s="34" t="s">
        <v>11</v>
      </c>
      <c r="D32" s="6">
        <f t="shared" ref="D32:J32" si="18">D27</f>
        <v>13000</v>
      </c>
      <c r="E32" s="6">
        <f t="shared" si="18"/>
        <v>11000</v>
      </c>
      <c r="F32" s="6">
        <f t="shared" si="18"/>
        <v>9000</v>
      </c>
      <c r="G32" s="7">
        <f t="shared" si="18"/>
        <v>7000</v>
      </c>
      <c r="H32" s="7">
        <f t="shared" si="18"/>
        <v>5000</v>
      </c>
      <c r="I32" s="7">
        <f t="shared" si="18"/>
        <v>3000</v>
      </c>
      <c r="J32" s="7">
        <f t="shared" si="18"/>
        <v>0</v>
      </c>
      <c r="K32" s="145"/>
    </row>
    <row r="33" spans="1:18" x14ac:dyDescent="0.2">
      <c r="A33" s="145"/>
      <c r="B33" s="133"/>
      <c r="C33" s="38" t="s">
        <v>44</v>
      </c>
      <c r="D33" s="33">
        <f>D28</f>
        <v>10500</v>
      </c>
      <c r="E33" s="33">
        <f>D33</f>
        <v>10500</v>
      </c>
      <c r="F33" s="33">
        <f t="shared" ref="F33:J33" si="19">E33</f>
        <v>10500</v>
      </c>
      <c r="G33" s="33">
        <f t="shared" si="19"/>
        <v>10500</v>
      </c>
      <c r="H33" s="33">
        <f t="shared" si="19"/>
        <v>10500</v>
      </c>
      <c r="I33" s="33">
        <f t="shared" si="19"/>
        <v>10500</v>
      </c>
      <c r="J33" s="33">
        <f t="shared" si="19"/>
        <v>10500</v>
      </c>
      <c r="K33" s="145"/>
    </row>
    <row r="34" spans="1:18" x14ac:dyDescent="0.2">
      <c r="A34" s="145"/>
      <c r="B34" s="133"/>
      <c r="C34" s="38" t="s">
        <v>47</v>
      </c>
      <c r="D34" s="33">
        <f>(((D31-D32)*0.95)*2)-D33*2</f>
        <v>109416.23749999999</v>
      </c>
      <c r="E34" s="33">
        <f t="shared" ref="E34:J34" si="20">(((E31-E32)*0.95)*2)-E33*2</f>
        <v>113216.23749999999</v>
      </c>
      <c r="F34" s="33">
        <f t="shared" si="20"/>
        <v>117016.23749999999</v>
      </c>
      <c r="G34" s="33">
        <f t="shared" si="20"/>
        <v>120816.23749999999</v>
      </c>
      <c r="H34" s="33">
        <f t="shared" si="20"/>
        <v>124616.23749999999</v>
      </c>
      <c r="I34" s="33">
        <f t="shared" si="20"/>
        <v>128416.23749999999</v>
      </c>
      <c r="J34" s="33">
        <f t="shared" si="20"/>
        <v>134116.23749999999</v>
      </c>
      <c r="K34" s="145"/>
    </row>
    <row r="35" spans="1:18" x14ac:dyDescent="0.2">
      <c r="A35" s="145"/>
      <c r="B35" s="133"/>
      <c r="C35" s="38" t="s">
        <v>48</v>
      </c>
      <c r="D35" s="33">
        <f>(D31-D32)-D33</f>
        <v>58140.125</v>
      </c>
      <c r="E35" s="33">
        <f t="shared" ref="E35:J35" si="21">(E31-E32)-E33</f>
        <v>60140.125</v>
      </c>
      <c r="F35" s="33">
        <f t="shared" si="21"/>
        <v>62140.125</v>
      </c>
      <c r="G35" s="33">
        <f t="shared" si="21"/>
        <v>64140.125</v>
      </c>
      <c r="H35" s="33">
        <f t="shared" si="21"/>
        <v>66140.125</v>
      </c>
      <c r="I35" s="33">
        <f t="shared" si="21"/>
        <v>68140.125</v>
      </c>
      <c r="J35" s="33">
        <f t="shared" si="21"/>
        <v>71140.125</v>
      </c>
      <c r="K35" s="145"/>
    </row>
    <row r="36" spans="1:18" x14ac:dyDescent="0.2">
      <c r="A36" s="146"/>
      <c r="B36" s="149" t="s">
        <v>13</v>
      </c>
      <c r="C36" s="150"/>
      <c r="D36" s="33">
        <f t="shared" ref="D36:J36" si="22">SUM(D19,D24,D29,D34)</f>
        <v>397730.98749999999</v>
      </c>
      <c r="E36" s="33">
        <f t="shared" si="22"/>
        <v>412930.98749999999</v>
      </c>
      <c r="F36" s="33">
        <f t="shared" si="22"/>
        <v>428130.98749999999</v>
      </c>
      <c r="G36" s="33">
        <f t="shared" si="22"/>
        <v>443330.98749999999</v>
      </c>
      <c r="H36" s="33">
        <f t="shared" si="22"/>
        <v>458530.98749999999</v>
      </c>
      <c r="I36" s="33">
        <f t="shared" si="22"/>
        <v>473730.98749999999</v>
      </c>
      <c r="J36" s="33">
        <f t="shared" si="22"/>
        <v>496530.98749999999</v>
      </c>
      <c r="K36" s="145"/>
    </row>
    <row r="37" spans="1:18" ht="17" thickBot="1" x14ac:dyDescent="0.25">
      <c r="K37" s="145"/>
      <c r="L37" s="24"/>
      <c r="M37" s="24"/>
      <c r="N37" s="24"/>
      <c r="O37" s="24"/>
      <c r="P37" s="24"/>
      <c r="Q37" s="24"/>
    </row>
    <row r="38" spans="1:18" x14ac:dyDescent="0.2">
      <c r="A38" s="142" t="s">
        <v>14</v>
      </c>
      <c r="B38" s="132" t="s">
        <v>38</v>
      </c>
      <c r="C38" s="19" t="s">
        <v>15</v>
      </c>
      <c r="D38" s="6">
        <f>D16*0.75</f>
        <v>54075</v>
      </c>
      <c r="E38" s="6">
        <f t="shared" ref="E38:H38" si="23">D38</f>
        <v>54075</v>
      </c>
      <c r="F38" s="6">
        <f t="shared" si="23"/>
        <v>54075</v>
      </c>
      <c r="G38" s="6">
        <f t="shared" si="23"/>
        <v>54075</v>
      </c>
      <c r="H38" s="7">
        <f t="shared" si="23"/>
        <v>54075</v>
      </c>
      <c r="I38" s="7">
        <f>I16*0.75</f>
        <v>54075</v>
      </c>
      <c r="J38" s="7">
        <f t="shared" ref="J38" si="24">I38</f>
        <v>54075</v>
      </c>
      <c r="K38" s="145"/>
      <c r="L38" s="24"/>
      <c r="M38" s="24"/>
      <c r="N38" s="24"/>
      <c r="O38" s="24"/>
      <c r="P38" s="24"/>
      <c r="Q38" s="24"/>
      <c r="R38" s="24"/>
    </row>
    <row r="39" spans="1:18" x14ac:dyDescent="0.2">
      <c r="A39" s="143"/>
      <c r="B39" s="133"/>
      <c r="C39" s="19" t="s">
        <v>11</v>
      </c>
      <c r="D39" s="6">
        <v>13000</v>
      </c>
      <c r="E39" s="6">
        <v>11000</v>
      </c>
      <c r="F39" s="6">
        <v>9000</v>
      </c>
      <c r="G39" s="7">
        <v>7000</v>
      </c>
      <c r="H39" s="7">
        <v>5000</v>
      </c>
      <c r="I39" s="7">
        <v>3000</v>
      </c>
      <c r="J39" s="7">
        <v>0</v>
      </c>
      <c r="K39" s="145"/>
    </row>
    <row r="40" spans="1:18" x14ac:dyDescent="0.2">
      <c r="A40" s="143"/>
      <c r="B40" s="133"/>
      <c r="C40" s="29" t="s">
        <v>47</v>
      </c>
      <c r="D40" s="30">
        <f>((D38-D39)*0.95)*2</f>
        <v>78042.5</v>
      </c>
      <c r="E40" s="30">
        <f t="shared" ref="E40:J40" si="25">((E38-E39)*0.95)*2</f>
        <v>81842.5</v>
      </c>
      <c r="F40" s="30">
        <f t="shared" si="25"/>
        <v>85642.5</v>
      </c>
      <c r="G40" s="30">
        <f t="shared" si="25"/>
        <v>89442.5</v>
      </c>
      <c r="H40" s="30">
        <f t="shared" si="25"/>
        <v>93242.5</v>
      </c>
      <c r="I40" s="30">
        <f t="shared" si="25"/>
        <v>97042.5</v>
      </c>
      <c r="J40" s="30">
        <f t="shared" si="25"/>
        <v>102742.5</v>
      </c>
      <c r="K40" s="145"/>
      <c r="L40" s="24"/>
      <c r="M40" s="24"/>
      <c r="N40" s="24"/>
      <c r="O40" s="24"/>
      <c r="P40" s="24"/>
      <c r="Q40" s="24"/>
      <c r="R40" s="24"/>
    </row>
    <row r="41" spans="1:18" ht="17" thickBot="1" x14ac:dyDescent="0.25">
      <c r="A41" s="143"/>
      <c r="B41" s="133"/>
      <c r="C41" s="29" t="s">
        <v>48</v>
      </c>
      <c r="D41" s="30">
        <f>(D38-D39)</f>
        <v>41075</v>
      </c>
      <c r="E41" s="30">
        <f t="shared" ref="E41:J41" si="26">(E38-E39)</f>
        <v>43075</v>
      </c>
      <c r="F41" s="30">
        <f t="shared" si="26"/>
        <v>45075</v>
      </c>
      <c r="G41" s="30">
        <f t="shared" si="26"/>
        <v>47075</v>
      </c>
      <c r="H41" s="30">
        <f t="shared" si="26"/>
        <v>49075</v>
      </c>
      <c r="I41" s="30">
        <f t="shared" si="26"/>
        <v>51075</v>
      </c>
      <c r="J41" s="30">
        <f t="shared" si="26"/>
        <v>54075</v>
      </c>
      <c r="K41" s="145"/>
      <c r="L41" s="24"/>
      <c r="M41" s="24"/>
      <c r="N41" s="24"/>
      <c r="O41" s="24"/>
      <c r="P41" s="24"/>
      <c r="Q41" s="24"/>
      <c r="R41" s="24"/>
    </row>
    <row r="42" spans="1:18" x14ac:dyDescent="0.2">
      <c r="A42" s="143"/>
      <c r="B42" s="132" t="s">
        <v>39</v>
      </c>
      <c r="C42" s="4" t="s">
        <v>15</v>
      </c>
      <c r="D42" s="6">
        <f>D21*0.75</f>
        <v>55537.5</v>
      </c>
      <c r="E42" s="6">
        <f t="shared" ref="E42:H42" si="27">D42</f>
        <v>55537.5</v>
      </c>
      <c r="F42" s="6">
        <f t="shared" si="27"/>
        <v>55537.5</v>
      </c>
      <c r="G42" s="6">
        <f t="shared" si="27"/>
        <v>55537.5</v>
      </c>
      <c r="H42" s="7">
        <f t="shared" si="27"/>
        <v>55537.5</v>
      </c>
      <c r="I42" s="7">
        <f t="shared" ref="I42" si="28">H42</f>
        <v>55537.5</v>
      </c>
      <c r="J42" s="7">
        <f t="shared" ref="J42" si="29">I42</f>
        <v>55537.5</v>
      </c>
      <c r="K42" s="145"/>
    </row>
    <row r="43" spans="1:18" x14ac:dyDescent="0.2">
      <c r="A43" s="143"/>
      <c r="B43" s="133"/>
      <c r="C43" s="19" t="s">
        <v>11</v>
      </c>
      <c r="D43" s="6">
        <f t="shared" ref="D43:J43" si="30">D39</f>
        <v>13000</v>
      </c>
      <c r="E43" s="6">
        <f t="shared" si="30"/>
        <v>11000</v>
      </c>
      <c r="F43" s="6">
        <f t="shared" si="30"/>
        <v>9000</v>
      </c>
      <c r="G43" s="6">
        <f t="shared" si="30"/>
        <v>7000</v>
      </c>
      <c r="H43" s="7">
        <f t="shared" si="30"/>
        <v>5000</v>
      </c>
      <c r="I43" s="7">
        <f t="shared" si="30"/>
        <v>3000</v>
      </c>
      <c r="J43" s="7">
        <f t="shared" si="30"/>
        <v>0</v>
      </c>
      <c r="K43" s="145"/>
    </row>
    <row r="44" spans="1:18" x14ac:dyDescent="0.2">
      <c r="A44" s="143"/>
      <c r="B44" s="133"/>
      <c r="C44" s="36" t="s">
        <v>47</v>
      </c>
      <c r="D44" s="31">
        <f>((D42-D43)*0.95)*2</f>
        <v>80821.25</v>
      </c>
      <c r="E44" s="31">
        <f t="shared" ref="E44:J44" si="31">((E42-E43)*0.95)*2</f>
        <v>84621.25</v>
      </c>
      <c r="F44" s="31">
        <f t="shared" si="31"/>
        <v>88421.25</v>
      </c>
      <c r="G44" s="31">
        <f t="shared" si="31"/>
        <v>92221.25</v>
      </c>
      <c r="H44" s="31">
        <f t="shared" si="31"/>
        <v>96021.25</v>
      </c>
      <c r="I44" s="31">
        <f t="shared" si="31"/>
        <v>99821.25</v>
      </c>
      <c r="J44" s="31">
        <f t="shared" si="31"/>
        <v>105521.25</v>
      </c>
      <c r="K44" s="145"/>
    </row>
    <row r="45" spans="1:18" ht="17" thickBot="1" x14ac:dyDescent="0.25">
      <c r="A45" s="143"/>
      <c r="B45" s="133"/>
      <c r="C45" s="41" t="s">
        <v>48</v>
      </c>
      <c r="D45" s="31">
        <f>(D42-D43)</f>
        <v>42537.5</v>
      </c>
      <c r="E45" s="31">
        <f t="shared" ref="E45:J45" si="32">(E42-E43)</f>
        <v>44537.5</v>
      </c>
      <c r="F45" s="31">
        <f t="shared" si="32"/>
        <v>46537.5</v>
      </c>
      <c r="G45" s="31">
        <f t="shared" si="32"/>
        <v>48537.5</v>
      </c>
      <c r="H45" s="31">
        <f t="shared" si="32"/>
        <v>50537.5</v>
      </c>
      <c r="I45" s="31">
        <f t="shared" si="32"/>
        <v>52537.5</v>
      </c>
      <c r="J45" s="31">
        <f t="shared" si="32"/>
        <v>55537.5</v>
      </c>
      <c r="K45" s="145"/>
    </row>
    <row r="46" spans="1:18" x14ac:dyDescent="0.2">
      <c r="A46" s="143"/>
      <c r="B46" s="132" t="s">
        <v>40</v>
      </c>
      <c r="C46" s="4" t="s">
        <v>15</v>
      </c>
      <c r="D46" s="6">
        <f>D42*1.05</f>
        <v>58314.375</v>
      </c>
      <c r="E46" s="6">
        <f t="shared" ref="E46:H46" si="33">D46</f>
        <v>58314.375</v>
      </c>
      <c r="F46" s="6">
        <f t="shared" si="33"/>
        <v>58314.375</v>
      </c>
      <c r="G46" s="6">
        <f t="shared" si="33"/>
        <v>58314.375</v>
      </c>
      <c r="H46" s="7">
        <f t="shared" si="33"/>
        <v>58314.375</v>
      </c>
      <c r="I46" s="7">
        <f>I42*1.05</f>
        <v>58314.375</v>
      </c>
      <c r="J46" s="7">
        <f t="shared" ref="J46" si="34">I46</f>
        <v>58314.375</v>
      </c>
      <c r="K46" s="145"/>
    </row>
    <row r="47" spans="1:18" x14ac:dyDescent="0.2">
      <c r="A47" s="143"/>
      <c r="B47" s="133"/>
      <c r="C47" s="19" t="s">
        <v>11</v>
      </c>
      <c r="D47" s="6">
        <f t="shared" ref="D47:J47" si="35">D43</f>
        <v>13000</v>
      </c>
      <c r="E47" s="6">
        <f t="shared" si="35"/>
        <v>11000</v>
      </c>
      <c r="F47" s="6">
        <f t="shared" si="35"/>
        <v>9000</v>
      </c>
      <c r="G47" s="6">
        <f t="shared" si="35"/>
        <v>7000</v>
      </c>
      <c r="H47" s="7">
        <f t="shared" si="35"/>
        <v>5000</v>
      </c>
      <c r="I47" s="7">
        <f t="shared" si="35"/>
        <v>3000</v>
      </c>
      <c r="J47" s="7">
        <f t="shared" si="35"/>
        <v>0</v>
      </c>
      <c r="K47" s="145"/>
    </row>
    <row r="48" spans="1:18" x14ac:dyDescent="0.2">
      <c r="A48" s="143"/>
      <c r="B48" s="133"/>
      <c r="C48" s="37" t="s">
        <v>47</v>
      </c>
      <c r="D48" s="32">
        <f>((D46-D47)*0.95)*2</f>
        <v>86097.3125</v>
      </c>
      <c r="E48" s="32">
        <f t="shared" ref="E48:J48" si="36">((E46-E47)*0.95)*2</f>
        <v>89897.3125</v>
      </c>
      <c r="F48" s="32">
        <f t="shared" si="36"/>
        <v>93697.3125</v>
      </c>
      <c r="G48" s="32">
        <f t="shared" si="36"/>
        <v>97497.3125</v>
      </c>
      <c r="H48" s="32">
        <f t="shared" si="36"/>
        <v>101297.3125</v>
      </c>
      <c r="I48" s="32">
        <f t="shared" si="36"/>
        <v>105097.3125</v>
      </c>
      <c r="J48" s="32">
        <f t="shared" si="36"/>
        <v>110797.3125</v>
      </c>
      <c r="K48" s="145"/>
    </row>
    <row r="49" spans="1:11" ht="17" thickBot="1" x14ac:dyDescent="0.25">
      <c r="A49" s="143"/>
      <c r="B49" s="133"/>
      <c r="C49" s="39" t="s">
        <v>48</v>
      </c>
      <c r="D49" s="32">
        <f>(D46-D47)</f>
        <v>45314.375</v>
      </c>
      <c r="E49" s="32">
        <f t="shared" ref="E49:J49" si="37">(E46-E47)</f>
        <v>47314.375</v>
      </c>
      <c r="F49" s="32">
        <f t="shared" si="37"/>
        <v>49314.375</v>
      </c>
      <c r="G49" s="32">
        <f t="shared" si="37"/>
        <v>51314.375</v>
      </c>
      <c r="H49" s="32">
        <f t="shared" si="37"/>
        <v>53314.375</v>
      </c>
      <c r="I49" s="32">
        <f t="shared" si="37"/>
        <v>55314.375</v>
      </c>
      <c r="J49" s="32">
        <f t="shared" si="37"/>
        <v>58314.375</v>
      </c>
      <c r="K49" s="145"/>
    </row>
    <row r="50" spans="1:11" x14ac:dyDescent="0.2">
      <c r="A50" s="143"/>
      <c r="B50" s="132" t="s">
        <v>41</v>
      </c>
      <c r="C50" s="4" t="s">
        <v>15</v>
      </c>
      <c r="D50" s="6">
        <f>D46*1.05</f>
        <v>61230.09375</v>
      </c>
      <c r="E50" s="6">
        <f t="shared" ref="E50:H50" si="38">D50</f>
        <v>61230.09375</v>
      </c>
      <c r="F50" s="6">
        <f t="shared" si="38"/>
        <v>61230.09375</v>
      </c>
      <c r="G50" s="6">
        <f t="shared" si="38"/>
        <v>61230.09375</v>
      </c>
      <c r="H50" s="7">
        <f t="shared" si="38"/>
        <v>61230.09375</v>
      </c>
      <c r="I50" s="7">
        <f>I46*1.05</f>
        <v>61230.09375</v>
      </c>
      <c r="J50" s="7">
        <f t="shared" ref="J50" si="39">I50</f>
        <v>61230.09375</v>
      </c>
      <c r="K50" s="145"/>
    </row>
    <row r="51" spans="1:11" x14ac:dyDescent="0.2">
      <c r="A51" s="143"/>
      <c r="B51" s="133"/>
      <c r="C51" s="19" t="s">
        <v>11</v>
      </c>
      <c r="D51" s="6">
        <f t="shared" ref="D51:J51" si="40">D47</f>
        <v>13000</v>
      </c>
      <c r="E51" s="6">
        <f t="shared" si="40"/>
        <v>11000</v>
      </c>
      <c r="F51" s="6">
        <f t="shared" si="40"/>
        <v>9000</v>
      </c>
      <c r="G51" s="6">
        <f t="shared" si="40"/>
        <v>7000</v>
      </c>
      <c r="H51" s="7">
        <f t="shared" si="40"/>
        <v>5000</v>
      </c>
      <c r="I51" s="7">
        <f t="shared" si="40"/>
        <v>3000</v>
      </c>
      <c r="J51" s="7">
        <f t="shared" si="40"/>
        <v>0</v>
      </c>
      <c r="K51" s="145"/>
    </row>
    <row r="52" spans="1:11" x14ac:dyDescent="0.2">
      <c r="A52" s="143"/>
      <c r="B52" s="133"/>
      <c r="C52" s="38" t="s">
        <v>47</v>
      </c>
      <c r="D52" s="33">
        <f>((D50-D51)*0.95)*2</f>
        <v>91637.178124999991</v>
      </c>
      <c r="E52" s="33">
        <f t="shared" ref="E52:J52" si="41">((E50-E51)*0.95)*2</f>
        <v>95437.178124999991</v>
      </c>
      <c r="F52" s="33">
        <f t="shared" si="41"/>
        <v>99237.178124999991</v>
      </c>
      <c r="G52" s="33">
        <f t="shared" si="41"/>
        <v>103037.17812499999</v>
      </c>
      <c r="H52" s="33">
        <f t="shared" si="41"/>
        <v>106837.17812499999</v>
      </c>
      <c r="I52" s="33">
        <f t="shared" si="41"/>
        <v>110637.17812499999</v>
      </c>
      <c r="J52" s="33">
        <f t="shared" si="41"/>
        <v>116337.17812499999</v>
      </c>
      <c r="K52" s="145"/>
    </row>
    <row r="53" spans="1:11" x14ac:dyDescent="0.2">
      <c r="A53" s="143"/>
      <c r="B53" s="133"/>
      <c r="C53" s="40" t="s">
        <v>48</v>
      </c>
      <c r="D53" s="33">
        <f>(D50-D51)</f>
        <v>48230.09375</v>
      </c>
      <c r="E53" s="33">
        <f t="shared" ref="E53:J53" si="42">(E50-E51)</f>
        <v>50230.09375</v>
      </c>
      <c r="F53" s="33">
        <f t="shared" si="42"/>
        <v>52230.09375</v>
      </c>
      <c r="G53" s="33">
        <f t="shared" si="42"/>
        <v>54230.09375</v>
      </c>
      <c r="H53" s="33">
        <f t="shared" si="42"/>
        <v>56230.09375</v>
      </c>
      <c r="I53" s="33">
        <f t="shared" si="42"/>
        <v>58230.09375</v>
      </c>
      <c r="J53" s="33">
        <f t="shared" si="42"/>
        <v>61230.09375</v>
      </c>
      <c r="K53" s="145"/>
    </row>
    <row r="54" spans="1:11" x14ac:dyDescent="0.2">
      <c r="A54" s="143"/>
      <c r="B54" s="147" t="s">
        <v>13</v>
      </c>
      <c r="C54" s="148"/>
      <c r="D54" s="33">
        <f t="shared" ref="D54:J54" si="43">SUM(D40,D44,D48,D52)</f>
        <v>336598.24062499998</v>
      </c>
      <c r="E54" s="33">
        <f t="shared" si="43"/>
        <v>351798.24062499998</v>
      </c>
      <c r="F54" s="33">
        <f t="shared" si="43"/>
        <v>366998.24062499998</v>
      </c>
      <c r="G54" s="33">
        <f t="shared" si="43"/>
        <v>382198.24062499998</v>
      </c>
      <c r="H54" s="33">
        <f t="shared" si="43"/>
        <v>397398.24062499998</v>
      </c>
      <c r="I54" s="33">
        <f t="shared" si="43"/>
        <v>412598.24062499998</v>
      </c>
      <c r="J54" s="33">
        <f t="shared" si="43"/>
        <v>435398.24062499998</v>
      </c>
      <c r="K54" s="145"/>
    </row>
    <row r="55" spans="1:11" ht="16" customHeight="1" x14ac:dyDescent="0.2">
      <c r="A55" s="134" t="s">
        <v>16</v>
      </c>
      <c r="B55" s="134"/>
      <c r="C55" s="134"/>
      <c r="D55" s="134"/>
      <c r="E55" s="134"/>
      <c r="F55" s="134"/>
      <c r="G55" s="134"/>
      <c r="H55" s="134"/>
      <c r="I55" s="134"/>
      <c r="J55" s="134"/>
      <c r="K55" s="134"/>
    </row>
    <row r="56" spans="1:11" ht="16" customHeight="1" x14ac:dyDescent="0.2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4"/>
    </row>
    <row r="57" spans="1:11" ht="17" customHeight="1" x14ac:dyDescent="0.2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4"/>
    </row>
    <row r="58" spans="1:11" x14ac:dyDescent="0.2">
      <c r="A58" s="135" t="s">
        <v>17</v>
      </c>
      <c r="B58" s="136"/>
      <c r="C58" s="139" t="s">
        <v>18</v>
      </c>
      <c r="D58" s="139"/>
      <c r="E58" s="8">
        <v>5000</v>
      </c>
      <c r="F58" s="9"/>
      <c r="G58" s="10"/>
    </row>
    <row r="59" spans="1:11" ht="16" customHeight="1" x14ac:dyDescent="0.2">
      <c r="A59" s="135"/>
      <c r="B59" s="136"/>
      <c r="C59" s="116" t="s">
        <v>19</v>
      </c>
      <c r="D59" s="116"/>
      <c r="E59" s="11">
        <v>3000</v>
      </c>
      <c r="F59" s="9"/>
      <c r="G59" s="10"/>
    </row>
    <row r="60" spans="1:11" ht="16" customHeight="1" thickBot="1" x14ac:dyDescent="0.25">
      <c r="A60" s="137"/>
      <c r="B60" s="138"/>
      <c r="C60" s="118" t="s">
        <v>20</v>
      </c>
      <c r="D60" s="118"/>
      <c r="E60" s="11">
        <v>3000</v>
      </c>
      <c r="F60" s="12"/>
      <c r="G60" s="13"/>
    </row>
    <row r="61" spans="1:11" ht="33" customHeight="1" thickBot="1" x14ac:dyDescent="0.25">
      <c r="A61" s="14" t="s">
        <v>21</v>
      </c>
      <c r="B61" s="15" t="s">
        <v>22</v>
      </c>
      <c r="C61" s="16" t="s">
        <v>23</v>
      </c>
      <c r="D61" s="16" t="s">
        <v>24</v>
      </c>
      <c r="E61" s="16" t="s">
        <v>25</v>
      </c>
      <c r="F61" s="17" t="s">
        <v>26</v>
      </c>
      <c r="G61" s="15" t="s">
        <v>27</v>
      </c>
      <c r="H61" s="15" t="s">
        <v>28</v>
      </c>
      <c r="I61" s="15" t="s">
        <v>29</v>
      </c>
    </row>
    <row r="62" spans="1:11" ht="14.5" customHeight="1" thickBot="1" x14ac:dyDescent="0.25">
      <c r="A62" s="21" t="s">
        <v>30</v>
      </c>
      <c r="B62" s="18">
        <f>B63*2</f>
        <v>7000</v>
      </c>
      <c r="C62" s="18">
        <f t="shared" ref="C62:H62" si="44">C63*2</f>
        <v>5000</v>
      </c>
      <c r="D62" s="18">
        <v>1000</v>
      </c>
      <c r="E62" s="18">
        <f t="shared" si="44"/>
        <v>1500</v>
      </c>
      <c r="F62" s="18">
        <f t="shared" si="44"/>
        <v>1000</v>
      </c>
      <c r="G62" s="18">
        <f t="shared" si="44"/>
        <v>1000</v>
      </c>
      <c r="H62" s="18">
        <f t="shared" si="44"/>
        <v>2000</v>
      </c>
      <c r="I62" s="59">
        <f>SUM(B62:H62)</f>
        <v>18500</v>
      </c>
    </row>
    <row r="63" spans="1:11" ht="14.5" customHeight="1" thickBot="1" x14ac:dyDescent="0.25">
      <c r="A63" s="21" t="s">
        <v>31</v>
      </c>
      <c r="B63" s="18">
        <v>3500</v>
      </c>
      <c r="C63" s="18">
        <v>2500</v>
      </c>
      <c r="D63" s="65">
        <v>1000</v>
      </c>
      <c r="E63" s="65">
        <v>750</v>
      </c>
      <c r="F63" s="65">
        <v>500</v>
      </c>
      <c r="G63" s="18">
        <v>500</v>
      </c>
      <c r="H63" s="18">
        <v>1000</v>
      </c>
      <c r="I63" s="59">
        <f>SUM(B63:H63)</f>
        <v>9750</v>
      </c>
    </row>
    <row r="64" spans="1:11" ht="25" customHeight="1" x14ac:dyDescent="0.2">
      <c r="A64" s="140" t="s">
        <v>45</v>
      </c>
      <c r="B64" s="140"/>
      <c r="C64" s="140"/>
      <c r="D64" s="140"/>
      <c r="E64" s="140"/>
      <c r="F64" s="140"/>
      <c r="G64" s="140"/>
      <c r="H64" s="140"/>
      <c r="I64" s="140"/>
    </row>
    <row r="65" spans="1:9" ht="23" customHeight="1" x14ac:dyDescent="0.2">
      <c r="A65" s="140" t="s">
        <v>46</v>
      </c>
      <c r="B65" s="140"/>
      <c r="C65" s="140"/>
      <c r="D65" s="140"/>
      <c r="E65" s="140"/>
      <c r="F65" s="140"/>
      <c r="G65" s="140"/>
      <c r="H65" s="140"/>
      <c r="I65" s="140"/>
    </row>
    <row r="66" spans="1:9" ht="33" customHeight="1" x14ac:dyDescent="0.2">
      <c r="A66" s="141" t="s">
        <v>43</v>
      </c>
      <c r="B66" s="141"/>
      <c r="C66" s="141"/>
      <c r="D66" s="141"/>
      <c r="E66" s="141"/>
      <c r="F66" s="141"/>
      <c r="G66" s="141"/>
      <c r="H66" s="141"/>
      <c r="I66" s="141"/>
    </row>
    <row r="67" spans="1:9" x14ac:dyDescent="0.2">
      <c r="A67" s="140" t="s">
        <v>32</v>
      </c>
      <c r="B67" s="140"/>
      <c r="C67" s="140"/>
      <c r="D67" s="140"/>
      <c r="E67" s="140"/>
      <c r="F67" s="140"/>
      <c r="G67" s="140"/>
      <c r="H67" s="140"/>
      <c r="I67" s="140"/>
    </row>
    <row r="68" spans="1:9" ht="28" customHeight="1" x14ac:dyDescent="0.2">
      <c r="A68" s="129" t="s">
        <v>97</v>
      </c>
      <c r="B68" s="130"/>
      <c r="C68" s="130"/>
      <c r="D68" s="130"/>
      <c r="E68" s="130"/>
      <c r="F68" s="130"/>
      <c r="G68" s="130"/>
      <c r="H68" s="130"/>
      <c r="I68" s="131"/>
    </row>
    <row r="69" spans="1:9" ht="13.5" customHeight="1" x14ac:dyDescent="0.2"/>
    <row r="71" spans="1:9" ht="28.75" customHeight="1" x14ac:dyDescent="0.2"/>
    <row r="72" spans="1:9" ht="39" customHeight="1" x14ac:dyDescent="0.2"/>
  </sheetData>
  <mergeCells count="25">
    <mergeCell ref="B54:C54"/>
    <mergeCell ref="A64:I64"/>
    <mergeCell ref="A65:I65"/>
    <mergeCell ref="A66:I66"/>
    <mergeCell ref="A67:I67"/>
    <mergeCell ref="A58:B60"/>
    <mergeCell ref="C58:D58"/>
    <mergeCell ref="C59:D59"/>
    <mergeCell ref="C60:D60"/>
    <mergeCell ref="A68:I68"/>
    <mergeCell ref="A55:K57"/>
    <mergeCell ref="A1:K10"/>
    <mergeCell ref="A11:K14"/>
    <mergeCell ref="A15:A36"/>
    <mergeCell ref="K15:K54"/>
    <mergeCell ref="B16:B20"/>
    <mergeCell ref="B21:B25"/>
    <mergeCell ref="B26:B30"/>
    <mergeCell ref="B31:B35"/>
    <mergeCell ref="B36:C36"/>
    <mergeCell ref="A38:A54"/>
    <mergeCell ref="B38:B41"/>
    <mergeCell ref="B42:B45"/>
    <mergeCell ref="B46:B49"/>
    <mergeCell ref="B50:B53"/>
  </mergeCells>
  <pageMargins left="0.7" right="0.7" top="0.75" bottom="0.75" header="0.3" footer="0.3"/>
  <pageSetup paperSize="9" scale="3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7B8A1-CF02-4B44-87DE-171861B6235C}">
  <sheetPr>
    <pageSetUpPr fitToPage="1"/>
  </sheetPr>
  <dimension ref="A1:R61"/>
  <sheetViews>
    <sheetView topLeftCell="C15" zoomScale="125" workbookViewId="0">
      <selection activeCell="D38" sqref="D38"/>
    </sheetView>
  </sheetViews>
  <sheetFormatPr baseColWidth="10" defaultColWidth="8.83203125" defaultRowHeight="16" x14ac:dyDescent="0.2"/>
  <cols>
    <col min="1" max="1" width="17.33203125" customWidth="1"/>
    <col min="2" max="2" width="23" bestFit="1" customWidth="1"/>
    <col min="3" max="3" width="41.1640625" bestFit="1" customWidth="1"/>
    <col min="4" max="4" width="16.83203125" customWidth="1"/>
    <col min="5" max="5" width="15.1640625" customWidth="1"/>
    <col min="6" max="6" width="14.83203125" customWidth="1"/>
    <col min="7" max="7" width="18.1640625" customWidth="1"/>
    <col min="8" max="11" width="16.6640625" customWidth="1"/>
  </cols>
  <sheetData>
    <row r="1" spans="1:11" x14ac:dyDescent="0.2">
      <c r="A1" s="119"/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x14ac:dyDescent="0.2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</row>
    <row r="3" spans="1:11" x14ac:dyDescent="0.2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</row>
    <row r="4" spans="1:11" x14ac:dyDescent="0.2">
      <c r="A4" s="119"/>
      <c r="B4" s="119"/>
      <c r="C4" s="119"/>
      <c r="D4" s="119"/>
      <c r="E4" s="119"/>
      <c r="F4" s="119"/>
      <c r="G4" s="119"/>
      <c r="H4" s="119"/>
      <c r="I4" s="119"/>
      <c r="J4" s="119"/>
      <c r="K4" s="119"/>
    </row>
    <row r="5" spans="1:11" x14ac:dyDescent="0.2">
      <c r="A5" s="119"/>
      <c r="B5" s="119"/>
      <c r="C5" s="119"/>
      <c r="D5" s="119"/>
      <c r="E5" s="119"/>
      <c r="F5" s="119"/>
      <c r="G5" s="119"/>
      <c r="H5" s="119"/>
      <c r="I5" s="119"/>
      <c r="J5" s="119"/>
      <c r="K5" s="119"/>
    </row>
    <row r="6" spans="1:11" x14ac:dyDescent="0.2">
      <c r="A6" s="119"/>
      <c r="B6" s="119"/>
      <c r="C6" s="119"/>
      <c r="D6" s="119"/>
      <c r="E6" s="119"/>
      <c r="F6" s="119"/>
      <c r="G6" s="119"/>
      <c r="H6" s="119"/>
      <c r="I6" s="119"/>
      <c r="J6" s="119"/>
      <c r="K6" s="119"/>
    </row>
    <row r="7" spans="1:11" x14ac:dyDescent="0.2">
      <c r="A7" s="119"/>
      <c r="B7" s="119"/>
      <c r="C7" s="119"/>
      <c r="D7" s="119"/>
      <c r="E7" s="119"/>
      <c r="F7" s="119"/>
      <c r="G7" s="119"/>
      <c r="H7" s="119"/>
      <c r="I7" s="119"/>
      <c r="J7" s="119"/>
      <c r="K7" s="119"/>
    </row>
    <row r="8" spans="1:11" x14ac:dyDescent="0.2">
      <c r="A8" s="119"/>
      <c r="B8" s="119"/>
      <c r="C8" s="119"/>
      <c r="D8" s="119"/>
      <c r="E8" s="119"/>
      <c r="F8" s="119"/>
      <c r="G8" s="119"/>
      <c r="H8" s="119"/>
      <c r="I8" s="119"/>
      <c r="J8" s="119"/>
      <c r="K8" s="119"/>
    </row>
    <row r="9" spans="1:11" x14ac:dyDescent="0.2">
      <c r="A9" s="119"/>
      <c r="B9" s="119"/>
      <c r="C9" s="119"/>
      <c r="D9" s="119"/>
      <c r="E9" s="119"/>
      <c r="F9" s="119"/>
      <c r="G9" s="119"/>
      <c r="H9" s="119"/>
      <c r="I9" s="119"/>
      <c r="J9" s="119"/>
      <c r="K9" s="119"/>
    </row>
    <row r="10" spans="1:11" x14ac:dyDescent="0.2">
      <c r="A10" s="119"/>
      <c r="B10" s="119"/>
      <c r="C10" s="119"/>
      <c r="D10" s="119"/>
      <c r="E10" s="119"/>
      <c r="F10" s="119"/>
      <c r="G10" s="119"/>
      <c r="H10" s="119"/>
      <c r="I10" s="119"/>
      <c r="J10" s="119"/>
      <c r="K10" s="119"/>
    </row>
    <row r="11" spans="1:11" ht="14.5" customHeight="1" x14ac:dyDescent="0.2">
      <c r="A11" s="151" t="s">
        <v>76</v>
      </c>
      <c r="B11" s="152"/>
      <c r="C11" s="152"/>
      <c r="D11" s="152"/>
      <c r="E11" s="152"/>
      <c r="F11" s="152"/>
      <c r="G11" s="152"/>
      <c r="H11" s="152"/>
      <c r="I11" s="152"/>
      <c r="J11" s="152"/>
      <c r="K11" s="153"/>
    </row>
    <row r="12" spans="1:11" ht="14.5" customHeight="1" x14ac:dyDescent="0.2">
      <c r="A12" s="154"/>
      <c r="B12" s="155"/>
      <c r="C12" s="155"/>
      <c r="D12" s="155"/>
      <c r="E12" s="155"/>
      <c r="F12" s="155"/>
      <c r="G12" s="155"/>
      <c r="H12" s="155"/>
      <c r="I12" s="155"/>
      <c r="J12" s="155"/>
      <c r="K12" s="156"/>
    </row>
    <row r="13" spans="1:11" ht="14.5" customHeight="1" x14ac:dyDescent="0.2">
      <c r="A13" s="154"/>
      <c r="B13" s="155"/>
      <c r="C13" s="155"/>
      <c r="D13" s="155"/>
      <c r="E13" s="155"/>
      <c r="F13" s="155"/>
      <c r="G13" s="155"/>
      <c r="H13" s="155"/>
      <c r="I13" s="155"/>
      <c r="J13" s="155"/>
      <c r="K13" s="156"/>
    </row>
    <row r="14" spans="1:11" ht="79.5" customHeight="1" x14ac:dyDescent="0.2">
      <c r="A14" s="157"/>
      <c r="B14" s="158"/>
      <c r="C14" s="158"/>
      <c r="D14" s="158"/>
      <c r="E14" s="158"/>
      <c r="F14" s="158"/>
      <c r="G14" s="158"/>
      <c r="H14" s="158"/>
      <c r="I14" s="158"/>
      <c r="J14" s="158"/>
      <c r="K14" s="159"/>
    </row>
    <row r="15" spans="1:11" ht="62" customHeight="1" x14ac:dyDescent="0.2">
      <c r="A15" s="163" t="s">
        <v>0</v>
      </c>
      <c r="B15" s="62" t="s">
        <v>1</v>
      </c>
      <c r="C15" s="63" t="s">
        <v>2</v>
      </c>
      <c r="D15" s="62" t="s">
        <v>64</v>
      </c>
      <c r="E15" s="62" t="s">
        <v>65</v>
      </c>
      <c r="F15" s="62" t="s">
        <v>66</v>
      </c>
      <c r="G15" s="62" t="s">
        <v>67</v>
      </c>
      <c r="H15" s="62" t="s">
        <v>68</v>
      </c>
      <c r="I15" s="62" t="s">
        <v>69</v>
      </c>
      <c r="J15" s="62" t="s">
        <v>70</v>
      </c>
      <c r="K15" s="163" t="s">
        <v>9</v>
      </c>
    </row>
    <row r="16" spans="1:11" x14ac:dyDescent="0.2">
      <c r="A16" s="163"/>
      <c r="B16" s="126" t="s">
        <v>38</v>
      </c>
      <c r="C16" s="34" t="s">
        <v>10</v>
      </c>
      <c r="D16" s="6">
        <v>67100</v>
      </c>
      <c r="E16" s="6">
        <f>D16</f>
        <v>67100</v>
      </c>
      <c r="F16" s="6">
        <f t="shared" ref="F16:J16" si="0">E16</f>
        <v>67100</v>
      </c>
      <c r="G16" s="7">
        <f t="shared" si="0"/>
        <v>67100</v>
      </c>
      <c r="H16" s="7">
        <f t="shared" si="0"/>
        <v>67100</v>
      </c>
      <c r="I16" s="7">
        <f t="shared" si="0"/>
        <v>67100</v>
      </c>
      <c r="J16" s="7">
        <f t="shared" si="0"/>
        <v>67100</v>
      </c>
      <c r="K16" s="163"/>
    </row>
    <row r="17" spans="1:18" x14ac:dyDescent="0.2">
      <c r="A17" s="163"/>
      <c r="B17" s="127"/>
      <c r="C17" s="34" t="s">
        <v>11</v>
      </c>
      <c r="D17" s="70">
        <v>17500</v>
      </c>
      <c r="E17" s="71">
        <v>15500</v>
      </c>
      <c r="F17" s="71">
        <v>13500</v>
      </c>
      <c r="G17" s="71">
        <v>11500</v>
      </c>
      <c r="H17" s="72">
        <v>9500</v>
      </c>
      <c r="I17" s="73">
        <v>8500</v>
      </c>
      <c r="J17" s="73">
        <v>7500</v>
      </c>
      <c r="K17" s="163"/>
    </row>
    <row r="18" spans="1:18" x14ac:dyDescent="0.2">
      <c r="A18" s="163"/>
      <c r="B18" s="127"/>
      <c r="C18" s="36" t="s">
        <v>44</v>
      </c>
      <c r="D18" s="31">
        <v>7500</v>
      </c>
      <c r="E18" s="31">
        <f>D18</f>
        <v>7500</v>
      </c>
      <c r="F18" s="31">
        <f t="shared" ref="F18:J18" si="1">E18</f>
        <v>7500</v>
      </c>
      <c r="G18" s="31">
        <f t="shared" si="1"/>
        <v>7500</v>
      </c>
      <c r="H18" s="31">
        <f t="shared" si="1"/>
        <v>7500</v>
      </c>
      <c r="I18" s="31">
        <f t="shared" si="1"/>
        <v>7500</v>
      </c>
      <c r="J18" s="31">
        <f t="shared" si="1"/>
        <v>7500</v>
      </c>
      <c r="K18" s="163"/>
    </row>
    <row r="19" spans="1:18" x14ac:dyDescent="0.2">
      <c r="A19" s="163"/>
      <c r="B19" s="127"/>
      <c r="C19" s="36" t="s">
        <v>47</v>
      </c>
      <c r="D19" s="31">
        <f>(((D16-D17)*0.95)*2)-D18*2</f>
        <v>79240</v>
      </c>
      <c r="E19" s="31">
        <f t="shared" ref="E19:J19" si="2">(((E16-E17)*0.95)*2)-E18*2</f>
        <v>83040</v>
      </c>
      <c r="F19" s="31">
        <f t="shared" si="2"/>
        <v>86840</v>
      </c>
      <c r="G19" s="31">
        <f t="shared" si="2"/>
        <v>90640</v>
      </c>
      <c r="H19" s="31">
        <f t="shared" si="2"/>
        <v>94440</v>
      </c>
      <c r="I19" s="31">
        <f t="shared" si="2"/>
        <v>96340</v>
      </c>
      <c r="J19" s="31">
        <f t="shared" si="2"/>
        <v>98240</v>
      </c>
      <c r="K19" s="163"/>
      <c r="L19" s="24"/>
      <c r="M19" s="24"/>
      <c r="N19" s="24"/>
      <c r="O19" s="24"/>
      <c r="P19" s="24"/>
      <c r="Q19" s="24"/>
      <c r="R19" s="24"/>
    </row>
    <row r="20" spans="1:18" x14ac:dyDescent="0.2">
      <c r="A20" s="163"/>
      <c r="B20" s="127"/>
      <c r="C20" s="36" t="s">
        <v>48</v>
      </c>
      <c r="D20" s="31">
        <f>(D16-D17)-D18</f>
        <v>42100</v>
      </c>
      <c r="E20" s="31">
        <f t="shared" ref="E20:J20" si="3">(E16-E17)-E18</f>
        <v>44100</v>
      </c>
      <c r="F20" s="31">
        <f t="shared" si="3"/>
        <v>46100</v>
      </c>
      <c r="G20" s="31">
        <f t="shared" si="3"/>
        <v>48100</v>
      </c>
      <c r="H20" s="31">
        <f t="shared" si="3"/>
        <v>50100</v>
      </c>
      <c r="I20" s="31">
        <f t="shared" si="3"/>
        <v>51100</v>
      </c>
      <c r="J20" s="31">
        <f t="shared" si="3"/>
        <v>52100</v>
      </c>
      <c r="K20" s="163"/>
    </row>
    <row r="21" spans="1:18" ht="16" customHeight="1" x14ac:dyDescent="0.2">
      <c r="A21" s="163"/>
      <c r="B21" s="126" t="s">
        <v>39</v>
      </c>
      <c r="C21" s="34" t="s">
        <v>12</v>
      </c>
      <c r="D21" s="6">
        <v>68800</v>
      </c>
      <c r="E21" s="6">
        <f t="shared" ref="E21:J21" si="4">D21</f>
        <v>68800</v>
      </c>
      <c r="F21" s="6">
        <f t="shared" si="4"/>
        <v>68800</v>
      </c>
      <c r="G21" s="7">
        <f t="shared" si="4"/>
        <v>68800</v>
      </c>
      <c r="H21" s="7">
        <f t="shared" si="4"/>
        <v>68800</v>
      </c>
      <c r="I21" s="7">
        <f t="shared" si="4"/>
        <v>68800</v>
      </c>
      <c r="J21" s="7">
        <f t="shared" si="4"/>
        <v>68800</v>
      </c>
      <c r="K21" s="163"/>
    </row>
    <row r="22" spans="1:18" x14ac:dyDescent="0.2">
      <c r="A22" s="163"/>
      <c r="B22" s="127"/>
      <c r="C22" s="34" t="s">
        <v>11</v>
      </c>
      <c r="D22" s="6">
        <f t="shared" ref="D22:J22" si="5">D17</f>
        <v>17500</v>
      </c>
      <c r="E22" s="6">
        <f t="shared" si="5"/>
        <v>15500</v>
      </c>
      <c r="F22" s="6">
        <f t="shared" si="5"/>
        <v>13500</v>
      </c>
      <c r="G22" s="7">
        <f t="shared" si="5"/>
        <v>11500</v>
      </c>
      <c r="H22" s="7">
        <f t="shared" si="5"/>
        <v>9500</v>
      </c>
      <c r="I22" s="7">
        <f t="shared" si="5"/>
        <v>8500</v>
      </c>
      <c r="J22" s="7">
        <f t="shared" si="5"/>
        <v>7500</v>
      </c>
      <c r="K22" s="163"/>
    </row>
    <row r="23" spans="1:18" x14ac:dyDescent="0.2">
      <c r="A23" s="163"/>
      <c r="B23" s="127"/>
      <c r="C23" s="37" t="s">
        <v>44</v>
      </c>
      <c r="D23" s="32">
        <f>D18</f>
        <v>7500</v>
      </c>
      <c r="E23" s="32">
        <f>D23</f>
        <v>7500</v>
      </c>
      <c r="F23" s="32">
        <f t="shared" ref="F23:J23" si="6">E23</f>
        <v>7500</v>
      </c>
      <c r="G23" s="32">
        <f t="shared" si="6"/>
        <v>7500</v>
      </c>
      <c r="H23" s="32">
        <f t="shared" si="6"/>
        <v>7500</v>
      </c>
      <c r="I23" s="32">
        <f t="shared" si="6"/>
        <v>7500</v>
      </c>
      <c r="J23" s="32">
        <f t="shared" si="6"/>
        <v>7500</v>
      </c>
      <c r="K23" s="163"/>
    </row>
    <row r="24" spans="1:18" x14ac:dyDescent="0.2">
      <c r="A24" s="163"/>
      <c r="B24" s="127"/>
      <c r="C24" s="37" t="s">
        <v>47</v>
      </c>
      <c r="D24" s="32">
        <f>(((D21-D22)*0.95)*2)-D23*2</f>
        <v>82470</v>
      </c>
      <c r="E24" s="32">
        <f t="shared" ref="E24:J24" si="7">(((E21-E22)*0.95)*2)-E23*2</f>
        <v>86270</v>
      </c>
      <c r="F24" s="32">
        <f t="shared" si="7"/>
        <v>90070</v>
      </c>
      <c r="G24" s="32">
        <f t="shared" si="7"/>
        <v>93870</v>
      </c>
      <c r="H24" s="32">
        <f t="shared" si="7"/>
        <v>97670</v>
      </c>
      <c r="I24" s="32">
        <f t="shared" si="7"/>
        <v>99570</v>
      </c>
      <c r="J24" s="32">
        <f t="shared" si="7"/>
        <v>101470</v>
      </c>
      <c r="K24" s="163"/>
    </row>
    <row r="25" spans="1:18" x14ac:dyDescent="0.2">
      <c r="A25" s="163"/>
      <c r="B25" s="127"/>
      <c r="C25" s="37" t="s">
        <v>48</v>
      </c>
      <c r="D25" s="32">
        <f>(D21-D22)-D23</f>
        <v>43800</v>
      </c>
      <c r="E25" s="32">
        <f t="shared" ref="E25:J25" si="8">(E21-E22)-E23</f>
        <v>45800</v>
      </c>
      <c r="F25" s="32">
        <f t="shared" si="8"/>
        <v>47800</v>
      </c>
      <c r="G25" s="32">
        <f t="shared" si="8"/>
        <v>49800</v>
      </c>
      <c r="H25" s="32">
        <f t="shared" si="8"/>
        <v>51800</v>
      </c>
      <c r="I25" s="32">
        <f t="shared" si="8"/>
        <v>52800</v>
      </c>
      <c r="J25" s="32">
        <f t="shared" si="8"/>
        <v>53800</v>
      </c>
      <c r="K25" s="163"/>
    </row>
    <row r="26" spans="1:18" x14ac:dyDescent="0.2">
      <c r="A26" s="163"/>
      <c r="B26" s="126" t="s">
        <v>40</v>
      </c>
      <c r="C26" s="34" t="s">
        <v>12</v>
      </c>
      <c r="D26" s="6">
        <f>D21*1.05</f>
        <v>72240</v>
      </c>
      <c r="E26" s="6">
        <f t="shared" ref="E26:J26" si="9">D26</f>
        <v>72240</v>
      </c>
      <c r="F26" s="6">
        <f t="shared" si="9"/>
        <v>72240</v>
      </c>
      <c r="G26" s="7">
        <f t="shared" si="9"/>
        <v>72240</v>
      </c>
      <c r="H26" s="7">
        <f t="shared" si="9"/>
        <v>72240</v>
      </c>
      <c r="I26" s="7">
        <f t="shared" si="9"/>
        <v>72240</v>
      </c>
      <c r="J26" s="7">
        <f t="shared" si="9"/>
        <v>72240</v>
      </c>
      <c r="K26" s="163"/>
    </row>
    <row r="27" spans="1:18" x14ac:dyDescent="0.2">
      <c r="A27" s="163"/>
      <c r="B27" s="127"/>
      <c r="C27" s="34" t="s">
        <v>11</v>
      </c>
      <c r="D27" s="6">
        <f t="shared" ref="D27:J27" si="10">D22</f>
        <v>17500</v>
      </c>
      <c r="E27" s="6">
        <f t="shared" si="10"/>
        <v>15500</v>
      </c>
      <c r="F27" s="6">
        <f t="shared" si="10"/>
        <v>13500</v>
      </c>
      <c r="G27" s="7">
        <f t="shared" si="10"/>
        <v>11500</v>
      </c>
      <c r="H27" s="7">
        <f t="shared" si="10"/>
        <v>9500</v>
      </c>
      <c r="I27" s="7">
        <f t="shared" si="10"/>
        <v>8500</v>
      </c>
      <c r="J27" s="7">
        <f t="shared" si="10"/>
        <v>7500</v>
      </c>
      <c r="K27" s="163"/>
    </row>
    <row r="28" spans="1:18" x14ac:dyDescent="0.2">
      <c r="A28" s="163"/>
      <c r="B28" s="127"/>
      <c r="C28" s="38" t="s">
        <v>44</v>
      </c>
      <c r="D28" s="33">
        <f>D23</f>
        <v>7500</v>
      </c>
      <c r="E28" s="33">
        <f>D28</f>
        <v>7500</v>
      </c>
      <c r="F28" s="33">
        <f t="shared" ref="F28:J28" si="11">E28</f>
        <v>7500</v>
      </c>
      <c r="G28" s="33">
        <f t="shared" si="11"/>
        <v>7500</v>
      </c>
      <c r="H28" s="33">
        <f t="shared" si="11"/>
        <v>7500</v>
      </c>
      <c r="I28" s="33">
        <f t="shared" si="11"/>
        <v>7500</v>
      </c>
      <c r="J28" s="33">
        <f t="shared" si="11"/>
        <v>7500</v>
      </c>
      <c r="K28" s="163"/>
    </row>
    <row r="29" spans="1:18" x14ac:dyDescent="0.2">
      <c r="A29" s="163"/>
      <c r="B29" s="127"/>
      <c r="C29" s="38" t="s">
        <v>47</v>
      </c>
      <c r="D29" s="33">
        <f>(((D26-D27)*0.95)*2)-D28*2</f>
        <v>89006</v>
      </c>
      <c r="E29" s="33">
        <f t="shared" ref="E29:J29" si="12">(((E26-E27)*0.95)*2)-E28*2</f>
        <v>92806</v>
      </c>
      <c r="F29" s="33">
        <f t="shared" si="12"/>
        <v>96606</v>
      </c>
      <c r="G29" s="33">
        <f t="shared" si="12"/>
        <v>100406</v>
      </c>
      <c r="H29" s="33">
        <f t="shared" si="12"/>
        <v>104206</v>
      </c>
      <c r="I29" s="33">
        <f t="shared" si="12"/>
        <v>106106</v>
      </c>
      <c r="J29" s="33">
        <f t="shared" si="12"/>
        <v>108006</v>
      </c>
      <c r="K29" s="163"/>
    </row>
    <row r="30" spans="1:18" x14ac:dyDescent="0.2">
      <c r="A30" s="163"/>
      <c r="B30" s="127"/>
      <c r="C30" s="38" t="s">
        <v>48</v>
      </c>
      <c r="D30" s="33">
        <f>(D26-D27)-D28</f>
        <v>47240</v>
      </c>
      <c r="E30" s="33">
        <f t="shared" ref="E30:J30" si="13">(E26-E27)-E28</f>
        <v>49240</v>
      </c>
      <c r="F30" s="33">
        <f t="shared" si="13"/>
        <v>51240</v>
      </c>
      <c r="G30" s="33">
        <f t="shared" si="13"/>
        <v>53240</v>
      </c>
      <c r="H30" s="33">
        <f t="shared" si="13"/>
        <v>55240</v>
      </c>
      <c r="I30" s="33">
        <f t="shared" si="13"/>
        <v>56240</v>
      </c>
      <c r="J30" s="33">
        <f t="shared" si="13"/>
        <v>57240</v>
      </c>
      <c r="K30" s="163"/>
    </row>
    <row r="31" spans="1:18" x14ac:dyDescent="0.2">
      <c r="A31" s="163"/>
      <c r="B31" s="128" t="s">
        <v>13</v>
      </c>
      <c r="C31" s="128"/>
      <c r="D31" s="33">
        <f t="shared" ref="D31:J31" si="14">SUM(D19,D24,D29)</f>
        <v>250716</v>
      </c>
      <c r="E31" s="33">
        <f t="shared" si="14"/>
        <v>262116</v>
      </c>
      <c r="F31" s="33">
        <f t="shared" si="14"/>
        <v>273516</v>
      </c>
      <c r="G31" s="33">
        <f t="shared" si="14"/>
        <v>284916</v>
      </c>
      <c r="H31" s="33">
        <f t="shared" si="14"/>
        <v>296316</v>
      </c>
      <c r="I31" s="33">
        <f t="shared" si="14"/>
        <v>302016</v>
      </c>
      <c r="J31" s="33">
        <f t="shared" si="14"/>
        <v>307716</v>
      </c>
      <c r="K31" s="163"/>
    </row>
    <row r="32" spans="1:18" x14ac:dyDescent="0.2">
      <c r="A32" s="160"/>
      <c r="B32" s="161"/>
      <c r="C32" s="161"/>
      <c r="D32" s="161"/>
      <c r="E32" s="161"/>
      <c r="F32" s="161"/>
      <c r="G32" s="161"/>
      <c r="H32" s="161"/>
      <c r="I32" s="161"/>
      <c r="J32" s="162"/>
      <c r="K32" s="163"/>
    </row>
    <row r="33" spans="1:11" ht="28" customHeight="1" x14ac:dyDescent="0.2">
      <c r="A33" s="163" t="s">
        <v>14</v>
      </c>
      <c r="B33" s="126" t="s">
        <v>38</v>
      </c>
      <c r="C33" s="4" t="s">
        <v>15</v>
      </c>
      <c r="D33" s="6">
        <f>D16*0.75</f>
        <v>50325</v>
      </c>
      <c r="E33" s="6">
        <f t="shared" ref="E33:J33" si="15">D33</f>
        <v>50325</v>
      </c>
      <c r="F33" s="6">
        <f t="shared" si="15"/>
        <v>50325</v>
      </c>
      <c r="G33" s="6">
        <f t="shared" si="15"/>
        <v>50325</v>
      </c>
      <c r="H33" s="7">
        <f t="shared" si="15"/>
        <v>50325</v>
      </c>
      <c r="I33" s="7">
        <f t="shared" si="15"/>
        <v>50325</v>
      </c>
      <c r="J33" s="7">
        <f t="shared" si="15"/>
        <v>50325</v>
      </c>
      <c r="K33" s="163"/>
    </row>
    <row r="34" spans="1:11" x14ac:dyDescent="0.2">
      <c r="A34" s="163"/>
      <c r="B34" s="127"/>
      <c r="C34" s="19" t="s">
        <v>11</v>
      </c>
      <c r="D34" s="70">
        <v>17500</v>
      </c>
      <c r="E34" s="71">
        <v>15500</v>
      </c>
      <c r="F34" s="71">
        <v>13500</v>
      </c>
      <c r="G34" s="71">
        <v>11500</v>
      </c>
      <c r="H34" s="72">
        <v>9500</v>
      </c>
      <c r="I34" s="73">
        <v>8500</v>
      </c>
      <c r="J34" s="73">
        <v>7500</v>
      </c>
      <c r="K34" s="163"/>
    </row>
    <row r="35" spans="1:11" x14ac:dyDescent="0.2">
      <c r="A35" s="163"/>
      <c r="B35" s="127"/>
      <c r="C35" s="36" t="s">
        <v>47</v>
      </c>
      <c r="D35" s="31">
        <f>((D33-D34)*0.95)*2</f>
        <v>62367.5</v>
      </c>
      <c r="E35" s="31">
        <f t="shared" ref="E35:J35" si="16">((E33-E34)*0.95)*2</f>
        <v>66167.5</v>
      </c>
      <c r="F35" s="31">
        <f t="shared" si="16"/>
        <v>69967.5</v>
      </c>
      <c r="G35" s="31">
        <f t="shared" si="16"/>
        <v>73767.5</v>
      </c>
      <c r="H35" s="31">
        <f t="shared" si="16"/>
        <v>77567.5</v>
      </c>
      <c r="I35" s="31">
        <f t="shared" si="16"/>
        <v>79467.5</v>
      </c>
      <c r="J35" s="31">
        <f t="shared" si="16"/>
        <v>81367.5</v>
      </c>
      <c r="K35" s="163"/>
    </row>
    <row r="36" spans="1:11" x14ac:dyDescent="0.2">
      <c r="A36" s="163"/>
      <c r="B36" s="127"/>
      <c r="C36" s="41" t="s">
        <v>48</v>
      </c>
      <c r="D36" s="31">
        <f>(D33-D34)</f>
        <v>32825</v>
      </c>
      <c r="E36" s="31">
        <f t="shared" ref="E36:J36" si="17">(E33-E34)</f>
        <v>34825</v>
      </c>
      <c r="F36" s="31">
        <f t="shared" si="17"/>
        <v>36825</v>
      </c>
      <c r="G36" s="31">
        <f t="shared" si="17"/>
        <v>38825</v>
      </c>
      <c r="H36" s="31">
        <f t="shared" si="17"/>
        <v>40825</v>
      </c>
      <c r="I36" s="31">
        <f t="shared" si="17"/>
        <v>41825</v>
      </c>
      <c r="J36" s="31">
        <f t="shared" si="17"/>
        <v>42825</v>
      </c>
      <c r="K36" s="163"/>
    </row>
    <row r="37" spans="1:11" ht="24" customHeight="1" x14ac:dyDescent="0.2">
      <c r="A37" s="163"/>
      <c r="B37" s="126" t="s">
        <v>39</v>
      </c>
      <c r="C37" s="4" t="s">
        <v>15</v>
      </c>
      <c r="D37" s="6">
        <f>D21*0.75</f>
        <v>51600</v>
      </c>
      <c r="E37" s="6">
        <f t="shared" ref="E37:J37" si="18">D37</f>
        <v>51600</v>
      </c>
      <c r="F37" s="6">
        <f t="shared" si="18"/>
        <v>51600</v>
      </c>
      <c r="G37" s="6">
        <f t="shared" si="18"/>
        <v>51600</v>
      </c>
      <c r="H37" s="7">
        <f t="shared" si="18"/>
        <v>51600</v>
      </c>
      <c r="I37" s="7">
        <f t="shared" si="18"/>
        <v>51600</v>
      </c>
      <c r="J37" s="7">
        <f t="shared" si="18"/>
        <v>51600</v>
      </c>
      <c r="K37" s="163"/>
    </row>
    <row r="38" spans="1:11" x14ac:dyDescent="0.2">
      <c r="A38" s="163"/>
      <c r="B38" s="127"/>
      <c r="C38" s="19" t="s">
        <v>11</v>
      </c>
      <c r="D38" s="6">
        <f t="shared" ref="D38:J38" si="19">D34</f>
        <v>17500</v>
      </c>
      <c r="E38" s="6">
        <f t="shared" si="19"/>
        <v>15500</v>
      </c>
      <c r="F38" s="6">
        <f t="shared" si="19"/>
        <v>13500</v>
      </c>
      <c r="G38" s="6">
        <f t="shared" si="19"/>
        <v>11500</v>
      </c>
      <c r="H38" s="7">
        <f t="shared" si="19"/>
        <v>9500</v>
      </c>
      <c r="I38" s="7">
        <f t="shared" si="19"/>
        <v>8500</v>
      </c>
      <c r="J38" s="7">
        <f t="shared" si="19"/>
        <v>7500</v>
      </c>
      <c r="K38" s="163"/>
    </row>
    <row r="39" spans="1:11" x14ac:dyDescent="0.2">
      <c r="A39" s="163"/>
      <c r="B39" s="127"/>
      <c r="C39" s="37" t="s">
        <v>47</v>
      </c>
      <c r="D39" s="32">
        <f>((D37-D38)*0.95)*2</f>
        <v>64790</v>
      </c>
      <c r="E39" s="32">
        <f t="shared" ref="E39:J39" si="20">((E37-E38)*0.95)*2</f>
        <v>68590</v>
      </c>
      <c r="F39" s="32">
        <f t="shared" si="20"/>
        <v>72390</v>
      </c>
      <c r="G39" s="32">
        <f t="shared" si="20"/>
        <v>76190</v>
      </c>
      <c r="H39" s="32">
        <f t="shared" si="20"/>
        <v>79990</v>
      </c>
      <c r="I39" s="32">
        <f t="shared" si="20"/>
        <v>81890</v>
      </c>
      <c r="J39" s="32">
        <f t="shared" si="20"/>
        <v>83790</v>
      </c>
      <c r="K39" s="163"/>
    </row>
    <row r="40" spans="1:11" x14ac:dyDescent="0.2">
      <c r="A40" s="163"/>
      <c r="B40" s="127"/>
      <c r="C40" s="39" t="s">
        <v>48</v>
      </c>
      <c r="D40" s="32">
        <f>(D37-D38)</f>
        <v>34100</v>
      </c>
      <c r="E40" s="32">
        <f t="shared" ref="E40:J40" si="21">(E37-E38)</f>
        <v>36100</v>
      </c>
      <c r="F40" s="32">
        <f t="shared" si="21"/>
        <v>38100</v>
      </c>
      <c r="G40" s="32">
        <f t="shared" si="21"/>
        <v>40100</v>
      </c>
      <c r="H40" s="32">
        <f t="shared" si="21"/>
        <v>42100</v>
      </c>
      <c r="I40" s="32">
        <f t="shared" si="21"/>
        <v>43100</v>
      </c>
      <c r="J40" s="32">
        <f t="shared" si="21"/>
        <v>44100</v>
      </c>
      <c r="K40" s="163"/>
    </row>
    <row r="41" spans="1:11" x14ac:dyDescent="0.2">
      <c r="A41" s="163"/>
      <c r="B41" s="126" t="s">
        <v>40</v>
      </c>
      <c r="C41" s="4" t="s">
        <v>15</v>
      </c>
      <c r="D41" s="6">
        <f>D37*1.05</f>
        <v>54180</v>
      </c>
      <c r="E41" s="6">
        <f t="shared" ref="E41:J41" si="22">D41</f>
        <v>54180</v>
      </c>
      <c r="F41" s="6">
        <f t="shared" si="22"/>
        <v>54180</v>
      </c>
      <c r="G41" s="6">
        <f t="shared" si="22"/>
        <v>54180</v>
      </c>
      <c r="H41" s="7">
        <f t="shared" si="22"/>
        <v>54180</v>
      </c>
      <c r="I41" s="7">
        <f t="shared" si="22"/>
        <v>54180</v>
      </c>
      <c r="J41" s="7">
        <f t="shared" si="22"/>
        <v>54180</v>
      </c>
      <c r="K41" s="163"/>
    </row>
    <row r="42" spans="1:11" x14ac:dyDescent="0.2">
      <c r="A42" s="163"/>
      <c r="B42" s="127"/>
      <c r="C42" s="19" t="s">
        <v>11</v>
      </c>
      <c r="D42" s="6">
        <f t="shared" ref="D42:J42" si="23">D38</f>
        <v>17500</v>
      </c>
      <c r="E42" s="6">
        <f t="shared" si="23"/>
        <v>15500</v>
      </c>
      <c r="F42" s="6">
        <f t="shared" si="23"/>
        <v>13500</v>
      </c>
      <c r="G42" s="6">
        <f t="shared" si="23"/>
        <v>11500</v>
      </c>
      <c r="H42" s="7">
        <f t="shared" si="23"/>
        <v>9500</v>
      </c>
      <c r="I42" s="7">
        <f t="shared" si="23"/>
        <v>8500</v>
      </c>
      <c r="J42" s="7">
        <f t="shared" si="23"/>
        <v>7500</v>
      </c>
      <c r="K42" s="163"/>
    </row>
    <row r="43" spans="1:11" x14ac:dyDescent="0.2">
      <c r="A43" s="163"/>
      <c r="B43" s="127"/>
      <c r="C43" s="38" t="s">
        <v>47</v>
      </c>
      <c r="D43" s="33">
        <f>((D41-D42)*0.95)*2</f>
        <v>69692</v>
      </c>
      <c r="E43" s="33">
        <f t="shared" ref="E43:J43" si="24">((E41-E42)*0.95)*2</f>
        <v>73492</v>
      </c>
      <c r="F43" s="33">
        <f t="shared" si="24"/>
        <v>77292</v>
      </c>
      <c r="G43" s="33">
        <f t="shared" si="24"/>
        <v>81092</v>
      </c>
      <c r="H43" s="33">
        <f t="shared" si="24"/>
        <v>84892</v>
      </c>
      <c r="I43" s="33">
        <f t="shared" si="24"/>
        <v>86792</v>
      </c>
      <c r="J43" s="33">
        <f t="shared" si="24"/>
        <v>88692</v>
      </c>
      <c r="K43" s="163"/>
    </row>
    <row r="44" spans="1:11" x14ac:dyDescent="0.2">
      <c r="A44" s="163"/>
      <c r="B44" s="127"/>
      <c r="C44" s="40" t="s">
        <v>48</v>
      </c>
      <c r="D44" s="33">
        <f>(D41-D42)</f>
        <v>36680</v>
      </c>
      <c r="E44" s="33">
        <f t="shared" ref="E44:J44" si="25">(E41-E42)</f>
        <v>38680</v>
      </c>
      <c r="F44" s="33">
        <f t="shared" si="25"/>
        <v>40680</v>
      </c>
      <c r="G44" s="33">
        <f t="shared" si="25"/>
        <v>42680</v>
      </c>
      <c r="H44" s="33">
        <f t="shared" si="25"/>
        <v>44680</v>
      </c>
      <c r="I44" s="33">
        <f t="shared" si="25"/>
        <v>45680</v>
      </c>
      <c r="J44" s="33">
        <f t="shared" si="25"/>
        <v>46680</v>
      </c>
      <c r="K44" s="163"/>
    </row>
    <row r="45" spans="1:11" x14ac:dyDescent="0.2">
      <c r="A45" s="163"/>
      <c r="B45" s="128" t="s">
        <v>13</v>
      </c>
      <c r="C45" s="128"/>
      <c r="D45" s="33">
        <f t="shared" ref="D45:J45" si="26">SUM(D35,D39,D43)</f>
        <v>196849.5</v>
      </c>
      <c r="E45" s="33">
        <f t="shared" si="26"/>
        <v>208249.5</v>
      </c>
      <c r="F45" s="33">
        <f t="shared" si="26"/>
        <v>219649.5</v>
      </c>
      <c r="G45" s="33">
        <f t="shared" si="26"/>
        <v>231049.5</v>
      </c>
      <c r="H45" s="33">
        <f t="shared" si="26"/>
        <v>242449.5</v>
      </c>
      <c r="I45" s="33">
        <f t="shared" si="26"/>
        <v>248149.5</v>
      </c>
      <c r="J45" s="33">
        <f t="shared" si="26"/>
        <v>253849.5</v>
      </c>
      <c r="K45" s="163"/>
    </row>
    <row r="46" spans="1:11" ht="16" customHeight="1" x14ac:dyDescent="0.2">
      <c r="A46" s="134" t="s">
        <v>16</v>
      </c>
      <c r="B46" s="134"/>
      <c r="C46" s="134"/>
      <c r="D46" s="134"/>
      <c r="E46" s="134"/>
      <c r="F46" s="134"/>
      <c r="G46" s="134"/>
      <c r="H46" s="134"/>
      <c r="I46" s="134"/>
      <c r="J46" s="134"/>
      <c r="K46" s="134"/>
    </row>
    <row r="47" spans="1:11" ht="4" customHeight="1" x14ac:dyDescent="0.2">
      <c r="A47" s="134"/>
      <c r="B47" s="134"/>
      <c r="C47" s="134"/>
      <c r="D47" s="134"/>
      <c r="E47" s="134"/>
      <c r="F47" s="134"/>
      <c r="G47" s="134"/>
      <c r="H47" s="134"/>
      <c r="I47" s="134"/>
      <c r="J47" s="134"/>
      <c r="K47" s="134"/>
    </row>
    <row r="48" spans="1:11" ht="2" customHeight="1" x14ac:dyDescent="0.2">
      <c r="A48" s="134"/>
      <c r="B48" s="134"/>
      <c r="C48" s="134"/>
      <c r="D48" s="134"/>
      <c r="E48" s="134"/>
      <c r="F48" s="134"/>
      <c r="G48" s="134"/>
      <c r="H48" s="134"/>
      <c r="I48" s="134"/>
      <c r="J48" s="134"/>
      <c r="K48" s="134"/>
    </row>
    <row r="49" spans="1:9" x14ac:dyDescent="0.2">
      <c r="A49" s="22" t="s">
        <v>17</v>
      </c>
      <c r="B49" s="23"/>
      <c r="C49" s="139" t="s">
        <v>18</v>
      </c>
      <c r="D49" s="139"/>
      <c r="E49" s="8">
        <v>5000</v>
      </c>
      <c r="F49" s="9"/>
      <c r="G49" s="10"/>
    </row>
    <row r="50" spans="1:9" x14ac:dyDescent="0.2">
      <c r="A50" s="22"/>
      <c r="B50" s="23"/>
      <c r="C50" s="116" t="s">
        <v>19</v>
      </c>
      <c r="D50" s="116"/>
      <c r="E50" s="11">
        <v>3000</v>
      </c>
      <c r="F50" s="9"/>
      <c r="G50" s="10"/>
    </row>
    <row r="51" spans="1:9" ht="17" thickBot="1" x14ac:dyDescent="0.25">
      <c r="A51" s="42"/>
      <c r="B51" s="43"/>
      <c r="C51" s="118" t="s">
        <v>20</v>
      </c>
      <c r="D51" s="118"/>
      <c r="E51" s="11">
        <v>3000</v>
      </c>
      <c r="F51" s="12"/>
      <c r="G51" s="13"/>
    </row>
    <row r="52" spans="1:9" ht="25" thickBot="1" x14ac:dyDescent="0.25">
      <c r="A52" s="14" t="s">
        <v>21</v>
      </c>
      <c r="B52" s="15" t="s">
        <v>22</v>
      </c>
      <c r="C52" s="16" t="s">
        <v>23</v>
      </c>
      <c r="D52" s="16" t="s">
        <v>24</v>
      </c>
      <c r="E52" s="16" t="s">
        <v>25</v>
      </c>
      <c r="F52" s="17" t="s">
        <v>26</v>
      </c>
      <c r="G52" s="15" t="s">
        <v>27</v>
      </c>
      <c r="H52" s="15" t="s">
        <v>28</v>
      </c>
      <c r="I52" s="15" t="s">
        <v>29</v>
      </c>
    </row>
    <row r="53" spans="1:9" ht="17" thickBot="1" x14ac:dyDescent="0.25">
      <c r="A53" s="21" t="s">
        <v>30</v>
      </c>
      <c r="B53" s="18">
        <f>B54*2</f>
        <v>7000</v>
      </c>
      <c r="C53" s="18">
        <f t="shared" ref="C53:H53" si="27">C54*2</f>
        <v>5000</v>
      </c>
      <c r="D53" s="18">
        <v>1000</v>
      </c>
      <c r="E53" s="18">
        <f t="shared" si="27"/>
        <v>1500</v>
      </c>
      <c r="F53" s="18">
        <f t="shared" si="27"/>
        <v>1000</v>
      </c>
      <c r="G53" s="18">
        <f t="shared" si="27"/>
        <v>1000</v>
      </c>
      <c r="H53" s="18">
        <f t="shared" si="27"/>
        <v>2000</v>
      </c>
      <c r="I53" s="59">
        <f>SUM(B53:H53)</f>
        <v>18500</v>
      </c>
    </row>
    <row r="54" spans="1:9" x14ac:dyDescent="0.2">
      <c r="A54" s="52" t="s">
        <v>31</v>
      </c>
      <c r="B54" s="53">
        <v>3500</v>
      </c>
      <c r="C54" s="53">
        <v>2500</v>
      </c>
      <c r="D54" s="64">
        <v>1000</v>
      </c>
      <c r="E54" s="64">
        <v>750</v>
      </c>
      <c r="F54" s="64">
        <v>500</v>
      </c>
      <c r="G54" s="53">
        <v>500</v>
      </c>
      <c r="H54" s="53">
        <v>1000</v>
      </c>
      <c r="I54" s="61">
        <f>SUM(B54:H54)</f>
        <v>9750</v>
      </c>
    </row>
    <row r="55" spans="1:9" ht="16" customHeight="1" x14ac:dyDescent="0.2">
      <c r="A55" s="140" t="s">
        <v>71</v>
      </c>
      <c r="B55" s="140"/>
      <c r="C55" s="140"/>
      <c r="D55" s="140"/>
      <c r="E55" s="140"/>
      <c r="F55" s="140"/>
      <c r="G55" s="140"/>
      <c r="H55" s="140"/>
      <c r="I55" s="140"/>
    </row>
    <row r="56" spans="1:9" ht="16" customHeight="1" x14ac:dyDescent="0.2">
      <c r="A56" s="140" t="s">
        <v>45</v>
      </c>
      <c r="B56" s="140"/>
      <c r="C56" s="140"/>
      <c r="D56" s="140"/>
      <c r="E56" s="140"/>
      <c r="F56" s="140"/>
      <c r="G56" s="140"/>
      <c r="H56" s="140"/>
      <c r="I56" s="140"/>
    </row>
    <row r="57" spans="1:9" ht="30.5" customHeight="1" x14ac:dyDescent="0.2">
      <c r="A57" s="140" t="s">
        <v>46</v>
      </c>
      <c r="B57" s="140"/>
      <c r="C57" s="140"/>
      <c r="D57" s="140"/>
      <c r="E57" s="140"/>
      <c r="F57" s="140"/>
      <c r="G57" s="140"/>
      <c r="H57" s="140"/>
      <c r="I57" s="140"/>
    </row>
    <row r="58" spans="1:9" ht="44" customHeight="1" x14ac:dyDescent="0.2">
      <c r="A58" s="141" t="s">
        <v>43</v>
      </c>
      <c r="B58" s="141"/>
      <c r="C58" s="141"/>
      <c r="D58" s="141"/>
      <c r="E58" s="141"/>
      <c r="F58" s="141"/>
      <c r="G58" s="141"/>
      <c r="H58" s="141"/>
      <c r="I58" s="141"/>
    </row>
    <row r="59" spans="1:9" ht="14.5" customHeight="1" x14ac:dyDescent="0.2">
      <c r="A59" s="140" t="s">
        <v>32</v>
      </c>
      <c r="B59" s="140"/>
      <c r="C59" s="140"/>
      <c r="D59" s="140"/>
      <c r="E59" s="140"/>
      <c r="F59" s="140"/>
      <c r="G59" s="140"/>
      <c r="H59" s="140"/>
      <c r="I59" s="140"/>
    </row>
    <row r="60" spans="1:9" x14ac:dyDescent="0.2">
      <c r="A60" s="129" t="s">
        <v>98</v>
      </c>
      <c r="B60" s="130"/>
      <c r="C60" s="130"/>
      <c r="D60" s="130"/>
      <c r="E60" s="130"/>
      <c r="F60" s="130"/>
      <c r="G60" s="130"/>
      <c r="H60" s="130"/>
      <c r="I60" s="131"/>
    </row>
    <row r="61" spans="1:9" x14ac:dyDescent="0.2">
      <c r="A61" s="193" t="s">
        <v>81</v>
      </c>
      <c r="B61" s="193"/>
      <c r="C61" s="193"/>
      <c r="D61" s="193"/>
      <c r="E61" s="193"/>
      <c r="F61" s="193"/>
      <c r="G61" s="193"/>
      <c r="H61" s="193"/>
      <c r="I61" s="193"/>
    </row>
  </sheetData>
  <mergeCells count="25">
    <mergeCell ref="A61:I61"/>
    <mergeCell ref="A59:I59"/>
    <mergeCell ref="A60:I60"/>
    <mergeCell ref="C50:D50"/>
    <mergeCell ref="C51:D51"/>
    <mergeCell ref="A55:I55"/>
    <mergeCell ref="A56:I56"/>
    <mergeCell ref="A57:I57"/>
    <mergeCell ref="A58:I58"/>
    <mergeCell ref="C49:D49"/>
    <mergeCell ref="A1:K10"/>
    <mergeCell ref="A11:K14"/>
    <mergeCell ref="A15:A31"/>
    <mergeCell ref="K15:K45"/>
    <mergeCell ref="B16:B20"/>
    <mergeCell ref="B21:B25"/>
    <mergeCell ref="B26:B30"/>
    <mergeCell ref="B31:C31"/>
    <mergeCell ref="A32:J32"/>
    <mergeCell ref="A33:A45"/>
    <mergeCell ref="B33:B36"/>
    <mergeCell ref="B37:B40"/>
    <mergeCell ref="B41:B44"/>
    <mergeCell ref="B45:C45"/>
    <mergeCell ref="A46:K48"/>
  </mergeCells>
  <pageMargins left="0.7" right="0.7" top="0.75" bottom="0.75" header="0.3" footer="0.3"/>
  <pageSetup paperSize="9" scale="4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2B3C0-36C0-5E44-8684-A4998BF80ED1}">
  <sheetPr>
    <pageSetUpPr fitToPage="1"/>
  </sheetPr>
  <dimension ref="A1:R61"/>
  <sheetViews>
    <sheetView topLeftCell="C14" zoomScale="125" workbookViewId="0">
      <selection activeCell="A61" sqref="A61:I61"/>
    </sheetView>
  </sheetViews>
  <sheetFormatPr baseColWidth="10" defaultColWidth="8.83203125" defaultRowHeight="16" x14ac:dyDescent="0.2"/>
  <cols>
    <col min="1" max="1" width="17.33203125" customWidth="1"/>
    <col min="2" max="2" width="23" bestFit="1" customWidth="1"/>
    <col min="3" max="3" width="41.1640625" bestFit="1" customWidth="1"/>
    <col min="4" max="4" width="16.83203125" customWidth="1"/>
    <col min="5" max="5" width="15.1640625" customWidth="1"/>
    <col min="6" max="6" width="14.83203125" customWidth="1"/>
    <col min="7" max="7" width="18.1640625" customWidth="1"/>
    <col min="8" max="11" width="16.6640625" customWidth="1"/>
  </cols>
  <sheetData>
    <row r="1" spans="1:11" x14ac:dyDescent="0.2">
      <c r="A1" s="119"/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x14ac:dyDescent="0.2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</row>
    <row r="3" spans="1:11" x14ac:dyDescent="0.2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</row>
    <row r="4" spans="1:11" x14ac:dyDescent="0.2">
      <c r="A4" s="119"/>
      <c r="B4" s="119"/>
      <c r="C4" s="119"/>
      <c r="D4" s="119"/>
      <c r="E4" s="119"/>
      <c r="F4" s="119"/>
      <c r="G4" s="119"/>
      <c r="H4" s="119"/>
      <c r="I4" s="119"/>
      <c r="J4" s="119"/>
      <c r="K4" s="119"/>
    </row>
    <row r="5" spans="1:11" x14ac:dyDescent="0.2">
      <c r="A5" s="119"/>
      <c r="B5" s="119"/>
      <c r="C5" s="119"/>
      <c r="D5" s="119"/>
      <c r="E5" s="119"/>
      <c r="F5" s="119"/>
      <c r="G5" s="119"/>
      <c r="H5" s="119"/>
      <c r="I5" s="119"/>
      <c r="J5" s="119"/>
      <c r="K5" s="119"/>
    </row>
    <row r="6" spans="1:11" x14ac:dyDescent="0.2">
      <c r="A6" s="119"/>
      <c r="B6" s="119"/>
      <c r="C6" s="119"/>
      <c r="D6" s="119"/>
      <c r="E6" s="119"/>
      <c r="F6" s="119"/>
      <c r="G6" s="119"/>
      <c r="H6" s="119"/>
      <c r="I6" s="119"/>
      <c r="J6" s="119"/>
      <c r="K6" s="119"/>
    </row>
    <row r="7" spans="1:11" x14ac:dyDescent="0.2">
      <c r="A7" s="119"/>
      <c r="B7" s="119"/>
      <c r="C7" s="119"/>
      <c r="D7" s="119"/>
      <c r="E7" s="119"/>
      <c r="F7" s="119"/>
      <c r="G7" s="119"/>
      <c r="H7" s="119"/>
      <c r="I7" s="119"/>
      <c r="J7" s="119"/>
      <c r="K7" s="119"/>
    </row>
    <row r="8" spans="1:11" x14ac:dyDescent="0.2">
      <c r="A8" s="119"/>
      <c r="B8" s="119"/>
      <c r="C8" s="119"/>
      <c r="D8" s="119"/>
      <c r="E8" s="119"/>
      <c r="F8" s="119"/>
      <c r="G8" s="119"/>
      <c r="H8" s="119"/>
      <c r="I8" s="119"/>
      <c r="J8" s="119"/>
      <c r="K8" s="119"/>
    </row>
    <row r="9" spans="1:11" x14ac:dyDescent="0.2">
      <c r="A9" s="119"/>
      <c r="B9" s="119"/>
      <c r="C9" s="119"/>
      <c r="D9" s="119"/>
      <c r="E9" s="119"/>
      <c r="F9" s="119"/>
      <c r="G9" s="119"/>
      <c r="H9" s="119"/>
      <c r="I9" s="119"/>
      <c r="J9" s="119"/>
      <c r="K9" s="119"/>
    </row>
    <row r="10" spans="1:11" x14ac:dyDescent="0.2">
      <c r="A10" s="119"/>
      <c r="B10" s="119"/>
      <c r="C10" s="119"/>
      <c r="D10" s="119"/>
      <c r="E10" s="119"/>
      <c r="F10" s="119"/>
      <c r="G10" s="119"/>
      <c r="H10" s="119"/>
      <c r="I10" s="119"/>
      <c r="J10" s="119"/>
      <c r="K10" s="119"/>
    </row>
    <row r="11" spans="1:11" ht="14.5" customHeight="1" x14ac:dyDescent="0.2">
      <c r="A11" s="151" t="s">
        <v>77</v>
      </c>
      <c r="B11" s="152"/>
      <c r="C11" s="152"/>
      <c r="D11" s="152"/>
      <c r="E11" s="152"/>
      <c r="F11" s="152"/>
      <c r="G11" s="152"/>
      <c r="H11" s="152"/>
      <c r="I11" s="152"/>
      <c r="J11" s="152"/>
      <c r="K11" s="153"/>
    </row>
    <row r="12" spans="1:11" ht="14.5" customHeight="1" x14ac:dyDescent="0.2">
      <c r="A12" s="154"/>
      <c r="B12" s="155"/>
      <c r="C12" s="155"/>
      <c r="D12" s="155"/>
      <c r="E12" s="155"/>
      <c r="F12" s="155"/>
      <c r="G12" s="155"/>
      <c r="H12" s="155"/>
      <c r="I12" s="155"/>
      <c r="J12" s="155"/>
      <c r="K12" s="156"/>
    </row>
    <row r="13" spans="1:11" ht="14.5" customHeight="1" x14ac:dyDescent="0.2">
      <c r="A13" s="154"/>
      <c r="B13" s="155"/>
      <c r="C13" s="155"/>
      <c r="D13" s="155"/>
      <c r="E13" s="155"/>
      <c r="F13" s="155"/>
      <c r="G13" s="155"/>
      <c r="H13" s="155"/>
      <c r="I13" s="155"/>
      <c r="J13" s="155"/>
      <c r="K13" s="156"/>
    </row>
    <row r="14" spans="1:11" ht="79.5" customHeight="1" x14ac:dyDescent="0.2">
      <c r="A14" s="157"/>
      <c r="B14" s="158"/>
      <c r="C14" s="158"/>
      <c r="D14" s="158"/>
      <c r="E14" s="158"/>
      <c r="F14" s="158"/>
      <c r="G14" s="158"/>
      <c r="H14" s="158"/>
      <c r="I14" s="158"/>
      <c r="J14" s="158"/>
      <c r="K14" s="159"/>
    </row>
    <row r="15" spans="1:11" ht="62" customHeight="1" x14ac:dyDescent="0.2">
      <c r="A15" s="163" t="s">
        <v>0</v>
      </c>
      <c r="B15" s="62" t="s">
        <v>1</v>
      </c>
      <c r="C15" s="63" t="s">
        <v>2</v>
      </c>
      <c r="D15" s="62" t="s">
        <v>64</v>
      </c>
      <c r="E15" s="62" t="s">
        <v>65</v>
      </c>
      <c r="F15" s="62" t="s">
        <v>66</v>
      </c>
      <c r="G15" s="62" t="s">
        <v>67</v>
      </c>
      <c r="H15" s="62" t="s">
        <v>68</v>
      </c>
      <c r="I15" s="62" t="s">
        <v>69</v>
      </c>
      <c r="J15" s="62" t="s">
        <v>70</v>
      </c>
      <c r="K15" s="163" t="s">
        <v>9</v>
      </c>
    </row>
    <row r="16" spans="1:11" x14ac:dyDescent="0.2">
      <c r="A16" s="163"/>
      <c r="B16" s="126" t="s">
        <v>38</v>
      </c>
      <c r="C16" s="34" t="s">
        <v>10</v>
      </c>
      <c r="D16" s="6">
        <v>62100</v>
      </c>
      <c r="E16" s="6">
        <f>D16</f>
        <v>62100</v>
      </c>
      <c r="F16" s="6">
        <f t="shared" ref="F16:J16" si="0">E16</f>
        <v>62100</v>
      </c>
      <c r="G16" s="7">
        <f t="shared" si="0"/>
        <v>62100</v>
      </c>
      <c r="H16" s="7">
        <f t="shared" si="0"/>
        <v>62100</v>
      </c>
      <c r="I16" s="7">
        <f t="shared" si="0"/>
        <v>62100</v>
      </c>
      <c r="J16" s="7">
        <f t="shared" si="0"/>
        <v>62100</v>
      </c>
      <c r="K16" s="163"/>
    </row>
    <row r="17" spans="1:18" x14ac:dyDescent="0.2">
      <c r="A17" s="163"/>
      <c r="B17" s="127"/>
      <c r="C17" s="34" t="s">
        <v>11</v>
      </c>
      <c r="D17" s="70">
        <v>17500</v>
      </c>
      <c r="E17" s="71">
        <v>15500</v>
      </c>
      <c r="F17" s="71">
        <v>13500</v>
      </c>
      <c r="G17" s="71">
        <v>11500</v>
      </c>
      <c r="H17" s="72">
        <v>9500</v>
      </c>
      <c r="I17" s="73">
        <v>8500</v>
      </c>
      <c r="J17" s="73">
        <v>7500</v>
      </c>
      <c r="K17" s="163"/>
    </row>
    <row r="18" spans="1:18" x14ac:dyDescent="0.2">
      <c r="A18" s="163"/>
      <c r="B18" s="127"/>
      <c r="C18" s="36" t="s">
        <v>44</v>
      </c>
      <c r="D18" s="31">
        <v>7500</v>
      </c>
      <c r="E18" s="31">
        <f>D18</f>
        <v>7500</v>
      </c>
      <c r="F18" s="31">
        <f t="shared" ref="F18:J18" si="1">E18</f>
        <v>7500</v>
      </c>
      <c r="G18" s="31">
        <f t="shared" si="1"/>
        <v>7500</v>
      </c>
      <c r="H18" s="31">
        <f t="shared" si="1"/>
        <v>7500</v>
      </c>
      <c r="I18" s="31">
        <f t="shared" si="1"/>
        <v>7500</v>
      </c>
      <c r="J18" s="31">
        <f t="shared" si="1"/>
        <v>7500</v>
      </c>
      <c r="K18" s="163"/>
    </row>
    <row r="19" spans="1:18" x14ac:dyDescent="0.2">
      <c r="A19" s="163"/>
      <c r="B19" s="127"/>
      <c r="C19" s="36" t="s">
        <v>47</v>
      </c>
      <c r="D19" s="31">
        <f>(((D16-D17)*0.95)*2)-D18*2</f>
        <v>69740</v>
      </c>
      <c r="E19" s="31">
        <f t="shared" ref="E19:J19" si="2">(((E16-E17)*0.95)*2)-E18*2</f>
        <v>73540</v>
      </c>
      <c r="F19" s="31">
        <f t="shared" si="2"/>
        <v>77340</v>
      </c>
      <c r="G19" s="31">
        <f t="shared" si="2"/>
        <v>81140</v>
      </c>
      <c r="H19" s="31">
        <f t="shared" si="2"/>
        <v>84940</v>
      </c>
      <c r="I19" s="31">
        <f t="shared" si="2"/>
        <v>86840</v>
      </c>
      <c r="J19" s="31">
        <f t="shared" si="2"/>
        <v>88740</v>
      </c>
      <c r="K19" s="163"/>
      <c r="L19" s="24"/>
      <c r="M19" s="24"/>
      <c r="N19" s="24"/>
      <c r="O19" s="24"/>
      <c r="P19" s="24"/>
      <c r="Q19" s="24"/>
      <c r="R19" s="24"/>
    </row>
    <row r="20" spans="1:18" x14ac:dyDescent="0.2">
      <c r="A20" s="163"/>
      <c r="B20" s="127"/>
      <c r="C20" s="36" t="s">
        <v>48</v>
      </c>
      <c r="D20" s="31">
        <f>(D16-D17)-D18</f>
        <v>37100</v>
      </c>
      <c r="E20" s="31">
        <f t="shared" ref="E20:J20" si="3">(E16-E17)-E18</f>
        <v>39100</v>
      </c>
      <c r="F20" s="31">
        <f t="shared" si="3"/>
        <v>41100</v>
      </c>
      <c r="G20" s="31">
        <f t="shared" si="3"/>
        <v>43100</v>
      </c>
      <c r="H20" s="31">
        <f t="shared" si="3"/>
        <v>45100</v>
      </c>
      <c r="I20" s="31">
        <f t="shared" si="3"/>
        <v>46100</v>
      </c>
      <c r="J20" s="31">
        <f t="shared" si="3"/>
        <v>47100</v>
      </c>
      <c r="K20" s="163"/>
    </row>
    <row r="21" spans="1:18" ht="16" customHeight="1" x14ac:dyDescent="0.2">
      <c r="A21" s="163"/>
      <c r="B21" s="126" t="s">
        <v>39</v>
      </c>
      <c r="C21" s="34" t="s">
        <v>12</v>
      </c>
      <c r="D21" s="6">
        <v>63550</v>
      </c>
      <c r="E21" s="6">
        <f t="shared" ref="E21:J21" si="4">D21</f>
        <v>63550</v>
      </c>
      <c r="F21" s="6">
        <f t="shared" si="4"/>
        <v>63550</v>
      </c>
      <c r="G21" s="7">
        <f t="shared" si="4"/>
        <v>63550</v>
      </c>
      <c r="H21" s="7">
        <f t="shared" si="4"/>
        <v>63550</v>
      </c>
      <c r="I21" s="7">
        <f t="shared" si="4"/>
        <v>63550</v>
      </c>
      <c r="J21" s="7">
        <f t="shared" si="4"/>
        <v>63550</v>
      </c>
      <c r="K21" s="163"/>
    </row>
    <row r="22" spans="1:18" x14ac:dyDescent="0.2">
      <c r="A22" s="163"/>
      <c r="B22" s="127"/>
      <c r="C22" s="34" t="s">
        <v>11</v>
      </c>
      <c r="D22" s="6">
        <f t="shared" ref="D22:J22" si="5">D17</f>
        <v>17500</v>
      </c>
      <c r="E22" s="6">
        <f t="shared" si="5"/>
        <v>15500</v>
      </c>
      <c r="F22" s="6">
        <f t="shared" si="5"/>
        <v>13500</v>
      </c>
      <c r="G22" s="7">
        <f t="shared" si="5"/>
        <v>11500</v>
      </c>
      <c r="H22" s="7">
        <f t="shared" si="5"/>
        <v>9500</v>
      </c>
      <c r="I22" s="7">
        <f t="shared" si="5"/>
        <v>8500</v>
      </c>
      <c r="J22" s="7">
        <f t="shared" si="5"/>
        <v>7500</v>
      </c>
      <c r="K22" s="163"/>
    </row>
    <row r="23" spans="1:18" x14ac:dyDescent="0.2">
      <c r="A23" s="163"/>
      <c r="B23" s="127"/>
      <c r="C23" s="37" t="s">
        <v>44</v>
      </c>
      <c r="D23" s="32">
        <f>D18</f>
        <v>7500</v>
      </c>
      <c r="E23" s="32">
        <f>D23</f>
        <v>7500</v>
      </c>
      <c r="F23" s="32">
        <f t="shared" ref="F23:J23" si="6">E23</f>
        <v>7500</v>
      </c>
      <c r="G23" s="32">
        <f t="shared" si="6"/>
        <v>7500</v>
      </c>
      <c r="H23" s="32">
        <f t="shared" si="6"/>
        <v>7500</v>
      </c>
      <c r="I23" s="32">
        <f t="shared" si="6"/>
        <v>7500</v>
      </c>
      <c r="J23" s="32">
        <f t="shared" si="6"/>
        <v>7500</v>
      </c>
      <c r="K23" s="163"/>
    </row>
    <row r="24" spans="1:18" x14ac:dyDescent="0.2">
      <c r="A24" s="163"/>
      <c r="B24" s="127"/>
      <c r="C24" s="37" t="s">
        <v>47</v>
      </c>
      <c r="D24" s="32">
        <f>(((D21-D22)*0.95)*2)-D23*2</f>
        <v>72495</v>
      </c>
      <c r="E24" s="32">
        <f t="shared" ref="E24:J24" si="7">(((E21-E22)*0.95)*2)-E23*2</f>
        <v>76295</v>
      </c>
      <c r="F24" s="32">
        <f t="shared" si="7"/>
        <v>80095</v>
      </c>
      <c r="G24" s="32">
        <f t="shared" si="7"/>
        <v>83895</v>
      </c>
      <c r="H24" s="32">
        <f t="shared" si="7"/>
        <v>87695</v>
      </c>
      <c r="I24" s="32">
        <f t="shared" si="7"/>
        <v>89595</v>
      </c>
      <c r="J24" s="32">
        <f t="shared" si="7"/>
        <v>91495</v>
      </c>
      <c r="K24" s="163"/>
    </row>
    <row r="25" spans="1:18" x14ac:dyDescent="0.2">
      <c r="A25" s="163"/>
      <c r="B25" s="127"/>
      <c r="C25" s="37" t="s">
        <v>48</v>
      </c>
      <c r="D25" s="32">
        <f>(D21-D22)-D23</f>
        <v>38550</v>
      </c>
      <c r="E25" s="32">
        <f t="shared" ref="E25:J25" si="8">(E21-E22)-E23</f>
        <v>40550</v>
      </c>
      <c r="F25" s="32">
        <f t="shared" si="8"/>
        <v>42550</v>
      </c>
      <c r="G25" s="32">
        <f t="shared" si="8"/>
        <v>44550</v>
      </c>
      <c r="H25" s="32">
        <f t="shared" si="8"/>
        <v>46550</v>
      </c>
      <c r="I25" s="32">
        <f t="shared" si="8"/>
        <v>47550</v>
      </c>
      <c r="J25" s="32">
        <f t="shared" si="8"/>
        <v>48550</v>
      </c>
      <c r="K25" s="163"/>
    </row>
    <row r="26" spans="1:18" x14ac:dyDescent="0.2">
      <c r="A26" s="163"/>
      <c r="B26" s="126" t="s">
        <v>40</v>
      </c>
      <c r="C26" s="34" t="s">
        <v>12</v>
      </c>
      <c r="D26" s="6">
        <f>D21*1.05</f>
        <v>66727.5</v>
      </c>
      <c r="E26" s="6">
        <f t="shared" ref="E26:J26" si="9">D26</f>
        <v>66727.5</v>
      </c>
      <c r="F26" s="6">
        <f t="shared" si="9"/>
        <v>66727.5</v>
      </c>
      <c r="G26" s="7">
        <f t="shared" si="9"/>
        <v>66727.5</v>
      </c>
      <c r="H26" s="7">
        <f t="shared" si="9"/>
        <v>66727.5</v>
      </c>
      <c r="I26" s="7">
        <f t="shared" si="9"/>
        <v>66727.5</v>
      </c>
      <c r="J26" s="7">
        <f t="shared" si="9"/>
        <v>66727.5</v>
      </c>
      <c r="K26" s="163"/>
    </row>
    <row r="27" spans="1:18" x14ac:dyDescent="0.2">
      <c r="A27" s="163"/>
      <c r="B27" s="127"/>
      <c r="C27" s="34" t="s">
        <v>11</v>
      </c>
      <c r="D27" s="6">
        <f t="shared" ref="D27:J27" si="10">D22</f>
        <v>17500</v>
      </c>
      <c r="E27" s="6">
        <f t="shared" si="10"/>
        <v>15500</v>
      </c>
      <c r="F27" s="6">
        <f t="shared" si="10"/>
        <v>13500</v>
      </c>
      <c r="G27" s="7">
        <f t="shared" si="10"/>
        <v>11500</v>
      </c>
      <c r="H27" s="7">
        <f t="shared" si="10"/>
        <v>9500</v>
      </c>
      <c r="I27" s="7">
        <f t="shared" si="10"/>
        <v>8500</v>
      </c>
      <c r="J27" s="7">
        <f t="shared" si="10"/>
        <v>7500</v>
      </c>
      <c r="K27" s="163"/>
    </row>
    <row r="28" spans="1:18" x14ac:dyDescent="0.2">
      <c r="A28" s="163"/>
      <c r="B28" s="127"/>
      <c r="C28" s="38" t="s">
        <v>44</v>
      </c>
      <c r="D28" s="33">
        <f>D23</f>
        <v>7500</v>
      </c>
      <c r="E28" s="33">
        <f>D28</f>
        <v>7500</v>
      </c>
      <c r="F28" s="33">
        <f t="shared" ref="F28:J28" si="11">E28</f>
        <v>7500</v>
      </c>
      <c r="G28" s="33">
        <f t="shared" si="11"/>
        <v>7500</v>
      </c>
      <c r="H28" s="33">
        <f t="shared" si="11"/>
        <v>7500</v>
      </c>
      <c r="I28" s="33">
        <f t="shared" si="11"/>
        <v>7500</v>
      </c>
      <c r="J28" s="33">
        <f t="shared" si="11"/>
        <v>7500</v>
      </c>
      <c r="K28" s="163"/>
    </row>
    <row r="29" spans="1:18" x14ac:dyDescent="0.2">
      <c r="A29" s="163"/>
      <c r="B29" s="127"/>
      <c r="C29" s="38" t="s">
        <v>47</v>
      </c>
      <c r="D29" s="33">
        <f>(((D26-D27)*0.95)*2)-D28*2</f>
        <v>78532.25</v>
      </c>
      <c r="E29" s="33">
        <f t="shared" ref="E29:J29" si="12">(((E26-E27)*0.95)*2)-E28*2</f>
        <v>82332.25</v>
      </c>
      <c r="F29" s="33">
        <f t="shared" si="12"/>
        <v>86132.25</v>
      </c>
      <c r="G29" s="33">
        <f t="shared" si="12"/>
        <v>89932.25</v>
      </c>
      <c r="H29" s="33">
        <f t="shared" si="12"/>
        <v>93732.25</v>
      </c>
      <c r="I29" s="33">
        <f t="shared" si="12"/>
        <v>95632.25</v>
      </c>
      <c r="J29" s="33">
        <f t="shared" si="12"/>
        <v>97532.25</v>
      </c>
      <c r="K29" s="163"/>
    </row>
    <row r="30" spans="1:18" x14ac:dyDescent="0.2">
      <c r="A30" s="163"/>
      <c r="B30" s="127"/>
      <c r="C30" s="38" t="s">
        <v>48</v>
      </c>
      <c r="D30" s="33">
        <f>(D26-D27)-D28</f>
        <v>41727.5</v>
      </c>
      <c r="E30" s="33">
        <f t="shared" ref="E30:J30" si="13">(E26-E27)-E28</f>
        <v>43727.5</v>
      </c>
      <c r="F30" s="33">
        <f t="shared" si="13"/>
        <v>45727.5</v>
      </c>
      <c r="G30" s="33">
        <f t="shared" si="13"/>
        <v>47727.5</v>
      </c>
      <c r="H30" s="33">
        <f t="shared" si="13"/>
        <v>49727.5</v>
      </c>
      <c r="I30" s="33">
        <f t="shared" si="13"/>
        <v>50727.5</v>
      </c>
      <c r="J30" s="33">
        <f t="shared" si="13"/>
        <v>51727.5</v>
      </c>
      <c r="K30" s="163"/>
    </row>
    <row r="31" spans="1:18" x14ac:dyDescent="0.2">
      <c r="A31" s="163"/>
      <c r="B31" s="128" t="s">
        <v>13</v>
      </c>
      <c r="C31" s="128"/>
      <c r="D31" s="33">
        <f t="shared" ref="D31:J31" si="14">SUM(D19,D24,D29)</f>
        <v>220767.25</v>
      </c>
      <c r="E31" s="33">
        <f t="shared" si="14"/>
        <v>232167.25</v>
      </c>
      <c r="F31" s="33">
        <f t="shared" si="14"/>
        <v>243567.25</v>
      </c>
      <c r="G31" s="33">
        <f t="shared" si="14"/>
        <v>254967.25</v>
      </c>
      <c r="H31" s="33">
        <f t="shared" si="14"/>
        <v>266367.25</v>
      </c>
      <c r="I31" s="33">
        <f t="shared" si="14"/>
        <v>272067.25</v>
      </c>
      <c r="J31" s="33">
        <f t="shared" si="14"/>
        <v>277767.25</v>
      </c>
      <c r="K31" s="163"/>
    </row>
    <row r="32" spans="1:18" x14ac:dyDescent="0.2">
      <c r="A32" s="160"/>
      <c r="B32" s="161"/>
      <c r="C32" s="161"/>
      <c r="D32" s="161"/>
      <c r="E32" s="161"/>
      <c r="F32" s="161"/>
      <c r="G32" s="161"/>
      <c r="H32" s="161"/>
      <c r="I32" s="161"/>
      <c r="J32" s="162"/>
      <c r="K32" s="163"/>
    </row>
    <row r="33" spans="1:11" ht="28" customHeight="1" x14ac:dyDescent="0.2">
      <c r="A33" s="163" t="s">
        <v>14</v>
      </c>
      <c r="B33" s="126" t="s">
        <v>38</v>
      </c>
      <c r="C33" s="4" t="s">
        <v>15</v>
      </c>
      <c r="D33" s="6">
        <f>D16*0.75</f>
        <v>46575</v>
      </c>
      <c r="E33" s="6">
        <f t="shared" ref="E33:J33" si="15">D33</f>
        <v>46575</v>
      </c>
      <c r="F33" s="6">
        <f t="shared" si="15"/>
        <v>46575</v>
      </c>
      <c r="G33" s="6">
        <f t="shared" si="15"/>
        <v>46575</v>
      </c>
      <c r="H33" s="7">
        <f t="shared" si="15"/>
        <v>46575</v>
      </c>
      <c r="I33" s="7">
        <f t="shared" si="15"/>
        <v>46575</v>
      </c>
      <c r="J33" s="7">
        <f t="shared" si="15"/>
        <v>46575</v>
      </c>
      <c r="K33" s="163"/>
    </row>
    <row r="34" spans="1:11" x14ac:dyDescent="0.2">
      <c r="A34" s="163"/>
      <c r="B34" s="127"/>
      <c r="C34" s="19" t="s">
        <v>11</v>
      </c>
      <c r="D34" s="70">
        <v>17500</v>
      </c>
      <c r="E34" s="71">
        <v>15500</v>
      </c>
      <c r="F34" s="71">
        <v>13500</v>
      </c>
      <c r="G34" s="71">
        <v>11500</v>
      </c>
      <c r="H34" s="72">
        <v>9500</v>
      </c>
      <c r="I34" s="73">
        <v>8500</v>
      </c>
      <c r="J34" s="73">
        <v>7500</v>
      </c>
      <c r="K34" s="163"/>
    </row>
    <row r="35" spans="1:11" x14ac:dyDescent="0.2">
      <c r="A35" s="163"/>
      <c r="B35" s="127"/>
      <c r="C35" s="36" t="s">
        <v>47</v>
      </c>
      <c r="D35" s="31">
        <f>((D33-D34)*0.95)*2</f>
        <v>55242.5</v>
      </c>
      <c r="E35" s="31">
        <f t="shared" ref="E35:J35" si="16">((E33-E34)*0.95)*2</f>
        <v>59042.5</v>
      </c>
      <c r="F35" s="31">
        <f t="shared" si="16"/>
        <v>62842.5</v>
      </c>
      <c r="G35" s="31">
        <f t="shared" si="16"/>
        <v>66642.5</v>
      </c>
      <c r="H35" s="31">
        <f t="shared" si="16"/>
        <v>70442.5</v>
      </c>
      <c r="I35" s="31">
        <f t="shared" si="16"/>
        <v>72342.5</v>
      </c>
      <c r="J35" s="31">
        <f t="shared" si="16"/>
        <v>74242.5</v>
      </c>
      <c r="K35" s="163"/>
    </row>
    <row r="36" spans="1:11" x14ac:dyDescent="0.2">
      <c r="A36" s="163"/>
      <c r="B36" s="127"/>
      <c r="C36" s="41" t="s">
        <v>48</v>
      </c>
      <c r="D36" s="31">
        <f>(D33-D34)</f>
        <v>29075</v>
      </c>
      <c r="E36" s="31">
        <f t="shared" ref="E36:J36" si="17">(E33-E34)</f>
        <v>31075</v>
      </c>
      <c r="F36" s="31">
        <f t="shared" si="17"/>
        <v>33075</v>
      </c>
      <c r="G36" s="31">
        <f t="shared" si="17"/>
        <v>35075</v>
      </c>
      <c r="H36" s="31">
        <f t="shared" si="17"/>
        <v>37075</v>
      </c>
      <c r="I36" s="31">
        <f t="shared" si="17"/>
        <v>38075</v>
      </c>
      <c r="J36" s="31">
        <f t="shared" si="17"/>
        <v>39075</v>
      </c>
      <c r="K36" s="163"/>
    </row>
    <row r="37" spans="1:11" ht="24" customHeight="1" x14ac:dyDescent="0.2">
      <c r="A37" s="163"/>
      <c r="B37" s="126" t="s">
        <v>39</v>
      </c>
      <c r="C37" s="4" t="s">
        <v>15</v>
      </c>
      <c r="D37" s="6">
        <f>D21*0.75</f>
        <v>47662.5</v>
      </c>
      <c r="E37" s="6">
        <f t="shared" ref="E37:J37" si="18">D37</f>
        <v>47662.5</v>
      </c>
      <c r="F37" s="6">
        <f t="shared" si="18"/>
        <v>47662.5</v>
      </c>
      <c r="G37" s="6">
        <f t="shared" si="18"/>
        <v>47662.5</v>
      </c>
      <c r="H37" s="7">
        <f t="shared" si="18"/>
        <v>47662.5</v>
      </c>
      <c r="I37" s="7">
        <f t="shared" si="18"/>
        <v>47662.5</v>
      </c>
      <c r="J37" s="7">
        <f t="shared" si="18"/>
        <v>47662.5</v>
      </c>
      <c r="K37" s="163"/>
    </row>
    <row r="38" spans="1:11" x14ac:dyDescent="0.2">
      <c r="A38" s="163"/>
      <c r="B38" s="127"/>
      <c r="C38" s="19" t="s">
        <v>11</v>
      </c>
      <c r="D38" s="6">
        <f t="shared" ref="D38:J38" si="19">D34</f>
        <v>17500</v>
      </c>
      <c r="E38" s="6">
        <f t="shared" si="19"/>
        <v>15500</v>
      </c>
      <c r="F38" s="6">
        <f t="shared" si="19"/>
        <v>13500</v>
      </c>
      <c r="G38" s="6">
        <f t="shared" si="19"/>
        <v>11500</v>
      </c>
      <c r="H38" s="7">
        <f t="shared" si="19"/>
        <v>9500</v>
      </c>
      <c r="I38" s="7">
        <f t="shared" si="19"/>
        <v>8500</v>
      </c>
      <c r="J38" s="7">
        <f t="shared" si="19"/>
        <v>7500</v>
      </c>
      <c r="K38" s="163"/>
    </row>
    <row r="39" spans="1:11" x14ac:dyDescent="0.2">
      <c r="A39" s="163"/>
      <c r="B39" s="127"/>
      <c r="C39" s="37" t="s">
        <v>47</v>
      </c>
      <c r="D39" s="32">
        <f>((D37-D38)*0.95)*2</f>
        <v>57308.75</v>
      </c>
      <c r="E39" s="32">
        <f t="shared" ref="E39:J39" si="20">((E37-E38)*0.95)*2</f>
        <v>61108.75</v>
      </c>
      <c r="F39" s="32">
        <f t="shared" si="20"/>
        <v>64908.75</v>
      </c>
      <c r="G39" s="32">
        <f t="shared" si="20"/>
        <v>68708.75</v>
      </c>
      <c r="H39" s="32">
        <f t="shared" si="20"/>
        <v>72508.75</v>
      </c>
      <c r="I39" s="32">
        <f t="shared" si="20"/>
        <v>74408.75</v>
      </c>
      <c r="J39" s="32">
        <f t="shared" si="20"/>
        <v>76308.75</v>
      </c>
      <c r="K39" s="163"/>
    </row>
    <row r="40" spans="1:11" x14ac:dyDescent="0.2">
      <c r="A40" s="163"/>
      <c r="B40" s="127"/>
      <c r="C40" s="39" t="s">
        <v>48</v>
      </c>
      <c r="D40" s="32">
        <f>(D37-D38)</f>
        <v>30162.5</v>
      </c>
      <c r="E40" s="32">
        <f t="shared" ref="E40:J40" si="21">(E37-E38)</f>
        <v>32162.5</v>
      </c>
      <c r="F40" s="32">
        <f t="shared" si="21"/>
        <v>34162.5</v>
      </c>
      <c r="G40" s="32">
        <f t="shared" si="21"/>
        <v>36162.5</v>
      </c>
      <c r="H40" s="32">
        <f t="shared" si="21"/>
        <v>38162.5</v>
      </c>
      <c r="I40" s="32">
        <f t="shared" si="21"/>
        <v>39162.5</v>
      </c>
      <c r="J40" s="32">
        <f t="shared" si="21"/>
        <v>40162.5</v>
      </c>
      <c r="K40" s="163"/>
    </row>
    <row r="41" spans="1:11" x14ac:dyDescent="0.2">
      <c r="A41" s="163"/>
      <c r="B41" s="126" t="s">
        <v>40</v>
      </c>
      <c r="C41" s="4" t="s">
        <v>15</v>
      </c>
      <c r="D41" s="6">
        <f>D37*1.05</f>
        <v>50045.625</v>
      </c>
      <c r="E41" s="6">
        <f t="shared" ref="E41:J41" si="22">D41</f>
        <v>50045.625</v>
      </c>
      <c r="F41" s="6">
        <f t="shared" si="22"/>
        <v>50045.625</v>
      </c>
      <c r="G41" s="6">
        <f t="shared" si="22"/>
        <v>50045.625</v>
      </c>
      <c r="H41" s="7">
        <f t="shared" si="22"/>
        <v>50045.625</v>
      </c>
      <c r="I41" s="7">
        <f t="shared" si="22"/>
        <v>50045.625</v>
      </c>
      <c r="J41" s="7">
        <f t="shared" si="22"/>
        <v>50045.625</v>
      </c>
      <c r="K41" s="163"/>
    </row>
    <row r="42" spans="1:11" x14ac:dyDescent="0.2">
      <c r="A42" s="163"/>
      <c r="B42" s="127"/>
      <c r="C42" s="19" t="s">
        <v>11</v>
      </c>
      <c r="D42" s="6">
        <f t="shared" ref="D42:J42" si="23">D38</f>
        <v>17500</v>
      </c>
      <c r="E42" s="6">
        <f t="shared" si="23"/>
        <v>15500</v>
      </c>
      <c r="F42" s="6">
        <f t="shared" si="23"/>
        <v>13500</v>
      </c>
      <c r="G42" s="6">
        <f t="shared" si="23"/>
        <v>11500</v>
      </c>
      <c r="H42" s="7">
        <f t="shared" si="23"/>
        <v>9500</v>
      </c>
      <c r="I42" s="7">
        <f t="shared" si="23"/>
        <v>8500</v>
      </c>
      <c r="J42" s="7">
        <f t="shared" si="23"/>
        <v>7500</v>
      </c>
      <c r="K42" s="163"/>
    </row>
    <row r="43" spans="1:11" x14ac:dyDescent="0.2">
      <c r="A43" s="163"/>
      <c r="B43" s="127"/>
      <c r="C43" s="38" t="s">
        <v>47</v>
      </c>
      <c r="D43" s="33">
        <f>((D41-D42)*0.95)*2</f>
        <v>61836.6875</v>
      </c>
      <c r="E43" s="33">
        <f t="shared" ref="E43:J43" si="24">((E41-E42)*0.95)*2</f>
        <v>65636.6875</v>
      </c>
      <c r="F43" s="33">
        <f t="shared" si="24"/>
        <v>69436.6875</v>
      </c>
      <c r="G43" s="33">
        <f t="shared" si="24"/>
        <v>73236.6875</v>
      </c>
      <c r="H43" s="33">
        <f t="shared" si="24"/>
        <v>77036.6875</v>
      </c>
      <c r="I43" s="33">
        <f t="shared" si="24"/>
        <v>78936.6875</v>
      </c>
      <c r="J43" s="33">
        <f t="shared" si="24"/>
        <v>80836.6875</v>
      </c>
      <c r="K43" s="163"/>
    </row>
    <row r="44" spans="1:11" x14ac:dyDescent="0.2">
      <c r="A44" s="163"/>
      <c r="B44" s="127"/>
      <c r="C44" s="40" t="s">
        <v>48</v>
      </c>
      <c r="D44" s="33">
        <f>(D41-D42)</f>
        <v>32545.625</v>
      </c>
      <c r="E44" s="33">
        <f t="shared" ref="E44:J44" si="25">(E41-E42)</f>
        <v>34545.625</v>
      </c>
      <c r="F44" s="33">
        <f t="shared" si="25"/>
        <v>36545.625</v>
      </c>
      <c r="G44" s="33">
        <f t="shared" si="25"/>
        <v>38545.625</v>
      </c>
      <c r="H44" s="33">
        <f t="shared" si="25"/>
        <v>40545.625</v>
      </c>
      <c r="I44" s="33">
        <f t="shared" si="25"/>
        <v>41545.625</v>
      </c>
      <c r="J44" s="33">
        <f t="shared" si="25"/>
        <v>42545.625</v>
      </c>
      <c r="K44" s="163"/>
    </row>
    <row r="45" spans="1:11" x14ac:dyDescent="0.2">
      <c r="A45" s="163"/>
      <c r="B45" s="128" t="s">
        <v>13</v>
      </c>
      <c r="C45" s="128"/>
      <c r="D45" s="33">
        <f t="shared" ref="D45:J45" si="26">SUM(D35,D39,D43)</f>
        <v>174387.9375</v>
      </c>
      <c r="E45" s="33">
        <f t="shared" si="26"/>
        <v>185787.9375</v>
      </c>
      <c r="F45" s="33">
        <f t="shared" si="26"/>
        <v>197187.9375</v>
      </c>
      <c r="G45" s="33">
        <f t="shared" si="26"/>
        <v>208587.9375</v>
      </c>
      <c r="H45" s="33">
        <f t="shared" si="26"/>
        <v>219987.9375</v>
      </c>
      <c r="I45" s="33">
        <f t="shared" si="26"/>
        <v>225687.9375</v>
      </c>
      <c r="J45" s="33">
        <f t="shared" si="26"/>
        <v>231387.9375</v>
      </c>
      <c r="K45" s="163"/>
    </row>
    <row r="46" spans="1:11" ht="16" customHeight="1" x14ac:dyDescent="0.2">
      <c r="A46" s="134" t="s">
        <v>16</v>
      </c>
      <c r="B46" s="134"/>
      <c r="C46" s="134"/>
      <c r="D46" s="134"/>
      <c r="E46" s="134"/>
      <c r="F46" s="134"/>
      <c r="G46" s="134"/>
      <c r="H46" s="134"/>
      <c r="I46" s="134"/>
      <c r="J46" s="134"/>
      <c r="K46" s="134"/>
    </row>
    <row r="47" spans="1:11" ht="4" customHeight="1" x14ac:dyDescent="0.2">
      <c r="A47" s="134"/>
      <c r="B47" s="134"/>
      <c r="C47" s="134"/>
      <c r="D47" s="134"/>
      <c r="E47" s="134"/>
      <c r="F47" s="134"/>
      <c r="G47" s="134"/>
      <c r="H47" s="134"/>
      <c r="I47" s="134"/>
      <c r="J47" s="134"/>
      <c r="K47" s="134"/>
    </row>
    <row r="48" spans="1:11" ht="2" customHeight="1" x14ac:dyDescent="0.2">
      <c r="A48" s="134"/>
      <c r="B48" s="134"/>
      <c r="C48" s="134"/>
      <c r="D48" s="134"/>
      <c r="E48" s="134"/>
      <c r="F48" s="134"/>
      <c r="G48" s="134"/>
      <c r="H48" s="134"/>
      <c r="I48" s="134"/>
      <c r="J48" s="134"/>
      <c r="K48" s="134"/>
    </row>
    <row r="49" spans="1:9" x14ac:dyDescent="0.2">
      <c r="A49" s="22" t="s">
        <v>17</v>
      </c>
      <c r="B49" s="23"/>
      <c r="C49" s="139" t="s">
        <v>18</v>
      </c>
      <c r="D49" s="139"/>
      <c r="E49" s="8">
        <v>5000</v>
      </c>
      <c r="F49" s="9"/>
      <c r="G49" s="10"/>
    </row>
    <row r="50" spans="1:9" x14ac:dyDescent="0.2">
      <c r="A50" s="22"/>
      <c r="B50" s="23"/>
      <c r="C50" s="116" t="s">
        <v>19</v>
      </c>
      <c r="D50" s="116"/>
      <c r="E50" s="11">
        <v>3000</v>
      </c>
      <c r="F50" s="9"/>
      <c r="G50" s="10"/>
    </row>
    <row r="51" spans="1:9" ht="17" thickBot="1" x14ac:dyDescent="0.25">
      <c r="A51" s="42"/>
      <c r="B51" s="43"/>
      <c r="C51" s="118" t="s">
        <v>20</v>
      </c>
      <c r="D51" s="118"/>
      <c r="E51" s="11">
        <v>3000</v>
      </c>
      <c r="F51" s="12"/>
      <c r="G51" s="13"/>
    </row>
    <row r="52" spans="1:9" ht="25" thickBot="1" x14ac:dyDescent="0.25">
      <c r="A52" s="14" t="s">
        <v>21</v>
      </c>
      <c r="B52" s="15" t="s">
        <v>22</v>
      </c>
      <c r="C52" s="16" t="s">
        <v>23</v>
      </c>
      <c r="D52" s="16" t="s">
        <v>24</v>
      </c>
      <c r="E52" s="16" t="s">
        <v>25</v>
      </c>
      <c r="F52" s="17" t="s">
        <v>26</v>
      </c>
      <c r="G52" s="15" t="s">
        <v>27</v>
      </c>
      <c r="H52" s="15" t="s">
        <v>28</v>
      </c>
      <c r="I52" s="15" t="s">
        <v>29</v>
      </c>
    </row>
    <row r="53" spans="1:9" ht="17" thickBot="1" x14ac:dyDescent="0.25">
      <c r="A53" s="21" t="s">
        <v>30</v>
      </c>
      <c r="B53" s="18">
        <f>B54*2</f>
        <v>7000</v>
      </c>
      <c r="C53" s="18">
        <f t="shared" ref="C53:H53" si="27">C54*2</f>
        <v>5000</v>
      </c>
      <c r="D53" s="18">
        <v>1000</v>
      </c>
      <c r="E53" s="18">
        <f t="shared" si="27"/>
        <v>1500</v>
      </c>
      <c r="F53" s="18">
        <f t="shared" si="27"/>
        <v>1000</v>
      </c>
      <c r="G53" s="18">
        <f t="shared" si="27"/>
        <v>1000</v>
      </c>
      <c r="H53" s="18">
        <f t="shared" si="27"/>
        <v>2000</v>
      </c>
      <c r="I53" s="59">
        <f>SUM(B53:H53)</f>
        <v>18500</v>
      </c>
    </row>
    <row r="54" spans="1:9" x14ac:dyDescent="0.2">
      <c r="A54" s="52" t="s">
        <v>31</v>
      </c>
      <c r="B54" s="53">
        <v>3500</v>
      </c>
      <c r="C54" s="53">
        <v>2500</v>
      </c>
      <c r="D54" s="64">
        <v>1000</v>
      </c>
      <c r="E54" s="64">
        <v>750</v>
      </c>
      <c r="F54" s="64">
        <v>500</v>
      </c>
      <c r="G54" s="53">
        <v>500</v>
      </c>
      <c r="H54" s="53">
        <v>1000</v>
      </c>
      <c r="I54" s="61">
        <f>SUM(B54:H54)</f>
        <v>9750</v>
      </c>
    </row>
    <row r="55" spans="1:9" ht="16" customHeight="1" x14ac:dyDescent="0.2">
      <c r="A55" s="140" t="s">
        <v>71</v>
      </c>
      <c r="B55" s="140"/>
      <c r="C55" s="140"/>
      <c r="D55" s="140"/>
      <c r="E55" s="140"/>
      <c r="F55" s="140"/>
      <c r="G55" s="140"/>
      <c r="H55" s="140"/>
      <c r="I55" s="140"/>
    </row>
    <row r="56" spans="1:9" ht="16" customHeight="1" x14ac:dyDescent="0.2">
      <c r="A56" s="140" t="s">
        <v>45</v>
      </c>
      <c r="B56" s="140"/>
      <c r="C56" s="140"/>
      <c r="D56" s="140"/>
      <c r="E56" s="140"/>
      <c r="F56" s="140"/>
      <c r="G56" s="140"/>
      <c r="H56" s="140"/>
      <c r="I56" s="140"/>
    </row>
    <row r="57" spans="1:9" ht="30.5" customHeight="1" x14ac:dyDescent="0.2">
      <c r="A57" s="140" t="s">
        <v>46</v>
      </c>
      <c r="B57" s="140"/>
      <c r="C57" s="140"/>
      <c r="D57" s="140"/>
      <c r="E57" s="140"/>
      <c r="F57" s="140"/>
      <c r="G57" s="140"/>
      <c r="H57" s="140"/>
      <c r="I57" s="140"/>
    </row>
    <row r="58" spans="1:9" ht="44" customHeight="1" x14ac:dyDescent="0.2">
      <c r="A58" s="141" t="s">
        <v>43</v>
      </c>
      <c r="B58" s="141"/>
      <c r="C58" s="141"/>
      <c r="D58" s="141"/>
      <c r="E58" s="141"/>
      <c r="F58" s="141"/>
      <c r="G58" s="141"/>
      <c r="H58" s="141"/>
      <c r="I58" s="141"/>
    </row>
    <row r="59" spans="1:9" ht="14.5" customHeight="1" x14ac:dyDescent="0.2">
      <c r="A59" s="140" t="s">
        <v>32</v>
      </c>
      <c r="B59" s="140"/>
      <c r="C59" s="140"/>
      <c r="D59" s="140"/>
      <c r="E59" s="140"/>
      <c r="F59" s="140"/>
      <c r="G59" s="140"/>
      <c r="H59" s="140"/>
      <c r="I59" s="140"/>
    </row>
    <row r="60" spans="1:9" x14ac:dyDescent="0.2">
      <c r="A60" s="129" t="s">
        <v>98</v>
      </c>
      <c r="B60" s="130"/>
      <c r="C60" s="130"/>
      <c r="D60" s="130"/>
      <c r="E60" s="130"/>
      <c r="F60" s="130"/>
      <c r="G60" s="130"/>
      <c r="H60" s="130"/>
      <c r="I60" s="131"/>
    </row>
    <row r="61" spans="1:9" x14ac:dyDescent="0.2">
      <c r="A61" s="193" t="s">
        <v>81</v>
      </c>
      <c r="B61" s="193"/>
      <c r="C61" s="193"/>
      <c r="D61" s="193"/>
      <c r="E61" s="193"/>
      <c r="F61" s="193"/>
      <c r="G61" s="193"/>
      <c r="H61" s="193"/>
      <c r="I61" s="193"/>
    </row>
  </sheetData>
  <mergeCells count="25">
    <mergeCell ref="A61:I61"/>
    <mergeCell ref="A46:K48"/>
    <mergeCell ref="A56:I56"/>
    <mergeCell ref="A57:I57"/>
    <mergeCell ref="A58:I58"/>
    <mergeCell ref="A59:I59"/>
    <mergeCell ref="C50:D50"/>
    <mergeCell ref="C51:D51"/>
    <mergeCell ref="A55:I55"/>
    <mergeCell ref="A60:I60"/>
    <mergeCell ref="C49:D49"/>
    <mergeCell ref="A1:K10"/>
    <mergeCell ref="A11:K14"/>
    <mergeCell ref="A15:A31"/>
    <mergeCell ref="K15:K45"/>
    <mergeCell ref="B16:B20"/>
    <mergeCell ref="B21:B25"/>
    <mergeCell ref="B26:B30"/>
    <mergeCell ref="B31:C31"/>
    <mergeCell ref="A32:J32"/>
    <mergeCell ref="A33:A45"/>
    <mergeCell ref="B33:B36"/>
    <mergeCell ref="B37:B40"/>
    <mergeCell ref="B41:B44"/>
    <mergeCell ref="B45:C45"/>
  </mergeCells>
  <pageMargins left="0.7" right="0.7" top="0.75" bottom="0.75" header="0.3" footer="0.3"/>
  <pageSetup paperSize="9" scale="45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4DB0D-B248-F243-BDEB-931934ADE10E}">
  <sheetPr>
    <pageSetUpPr fitToPage="1"/>
  </sheetPr>
  <dimension ref="A1:P54"/>
  <sheetViews>
    <sheetView topLeftCell="B13" zoomScale="117" workbookViewId="0">
      <selection activeCell="D31" sqref="D31"/>
    </sheetView>
  </sheetViews>
  <sheetFormatPr baseColWidth="10" defaultColWidth="8.83203125" defaultRowHeight="16" x14ac:dyDescent="0.2"/>
  <cols>
    <col min="1" max="1" width="17.33203125" customWidth="1"/>
    <col min="2" max="2" width="23" bestFit="1" customWidth="1"/>
    <col min="3" max="3" width="34.6640625" customWidth="1"/>
    <col min="4" max="4" width="16.83203125" customWidth="1"/>
    <col min="5" max="5" width="15.1640625" customWidth="1"/>
    <col min="6" max="6" width="14.83203125" customWidth="1"/>
    <col min="7" max="7" width="18.1640625" customWidth="1"/>
    <col min="8" max="11" width="16.6640625" customWidth="1"/>
  </cols>
  <sheetData>
    <row r="1" spans="1:14" x14ac:dyDescent="0.2">
      <c r="A1" s="176"/>
      <c r="B1" s="177"/>
      <c r="C1" s="177"/>
      <c r="D1" s="177"/>
      <c r="E1" s="177"/>
      <c r="F1" s="177"/>
      <c r="G1" s="177"/>
      <c r="H1" s="177"/>
      <c r="I1" s="178"/>
    </row>
    <row r="2" spans="1:14" x14ac:dyDescent="0.2">
      <c r="A2" s="179"/>
      <c r="B2" s="180"/>
      <c r="C2" s="180"/>
      <c r="D2" s="180"/>
      <c r="E2" s="180"/>
      <c r="F2" s="180"/>
      <c r="G2" s="180"/>
      <c r="H2" s="180"/>
      <c r="I2" s="181"/>
    </row>
    <row r="3" spans="1:14" x14ac:dyDescent="0.2">
      <c r="A3" s="179"/>
      <c r="B3" s="180"/>
      <c r="C3" s="180"/>
      <c r="D3" s="180"/>
      <c r="E3" s="180"/>
      <c r="F3" s="180"/>
      <c r="G3" s="180"/>
      <c r="H3" s="180"/>
      <c r="I3" s="181"/>
    </row>
    <row r="4" spans="1:14" x14ac:dyDescent="0.2">
      <c r="A4" s="179"/>
      <c r="B4" s="180"/>
      <c r="C4" s="180"/>
      <c r="D4" s="180"/>
      <c r="E4" s="180"/>
      <c r="F4" s="180"/>
      <c r="G4" s="180"/>
      <c r="H4" s="180"/>
      <c r="I4" s="181"/>
    </row>
    <row r="5" spans="1:14" x14ac:dyDescent="0.2">
      <c r="A5" s="179"/>
      <c r="B5" s="180"/>
      <c r="C5" s="180"/>
      <c r="D5" s="180"/>
      <c r="E5" s="180"/>
      <c r="F5" s="180"/>
      <c r="G5" s="180"/>
      <c r="H5" s="180"/>
      <c r="I5" s="181"/>
    </row>
    <row r="6" spans="1:14" x14ac:dyDescent="0.2">
      <c r="A6" s="179"/>
      <c r="B6" s="180"/>
      <c r="C6" s="180"/>
      <c r="D6" s="180"/>
      <c r="E6" s="180"/>
      <c r="F6" s="180"/>
      <c r="G6" s="180"/>
      <c r="H6" s="180"/>
      <c r="I6" s="181"/>
    </row>
    <row r="7" spans="1:14" x14ac:dyDescent="0.2">
      <c r="A7" s="179"/>
      <c r="B7" s="180"/>
      <c r="C7" s="180"/>
      <c r="D7" s="180"/>
      <c r="E7" s="180"/>
      <c r="F7" s="180"/>
      <c r="G7" s="180"/>
      <c r="H7" s="180"/>
      <c r="I7" s="181"/>
    </row>
    <row r="8" spans="1:14" x14ac:dyDescent="0.2">
      <c r="A8" s="179"/>
      <c r="B8" s="180"/>
      <c r="C8" s="180"/>
      <c r="D8" s="180"/>
      <c r="E8" s="180"/>
      <c r="F8" s="180"/>
      <c r="G8" s="180"/>
      <c r="H8" s="180"/>
      <c r="I8" s="181"/>
    </row>
    <row r="9" spans="1:14" x14ac:dyDescent="0.2">
      <c r="A9" s="179"/>
      <c r="B9" s="180"/>
      <c r="C9" s="180"/>
      <c r="D9" s="180"/>
      <c r="E9" s="180"/>
      <c r="F9" s="180"/>
      <c r="G9" s="180"/>
      <c r="H9" s="180"/>
      <c r="I9" s="181"/>
    </row>
    <row r="10" spans="1:14" x14ac:dyDescent="0.2">
      <c r="A10" s="182"/>
      <c r="B10" s="183"/>
      <c r="C10" s="183"/>
      <c r="D10" s="183"/>
      <c r="E10" s="183"/>
      <c r="F10" s="183"/>
      <c r="G10" s="183"/>
      <c r="H10" s="183"/>
      <c r="I10" s="184"/>
    </row>
    <row r="11" spans="1:14" ht="14.5" customHeight="1" x14ac:dyDescent="0.2">
      <c r="A11" s="151" t="s">
        <v>78</v>
      </c>
      <c r="B11" s="152"/>
      <c r="C11" s="152"/>
      <c r="D11" s="152"/>
      <c r="E11" s="152"/>
      <c r="F11" s="152"/>
      <c r="G11" s="152"/>
      <c r="H11" s="152"/>
      <c r="I11" s="153"/>
    </row>
    <row r="12" spans="1:14" ht="92" customHeight="1" x14ac:dyDescent="0.2">
      <c r="A12" s="157"/>
      <c r="B12" s="158"/>
      <c r="C12" s="158"/>
      <c r="D12" s="158"/>
      <c r="E12" s="158"/>
      <c r="F12" s="158"/>
      <c r="G12" s="158"/>
      <c r="H12" s="158"/>
      <c r="I12" s="159"/>
    </row>
    <row r="13" spans="1:14" ht="85.25" customHeight="1" thickBot="1" x14ac:dyDescent="0.25">
      <c r="A13" s="145" t="s">
        <v>0</v>
      </c>
      <c r="B13" s="1" t="s">
        <v>1</v>
      </c>
      <c r="C13" s="2" t="s">
        <v>2</v>
      </c>
      <c r="D13" s="3" t="s">
        <v>52</v>
      </c>
      <c r="E13" s="3" t="s">
        <v>53</v>
      </c>
      <c r="F13" s="3" t="s">
        <v>54</v>
      </c>
      <c r="G13" s="3" t="s">
        <v>55</v>
      </c>
      <c r="H13" s="3" t="s">
        <v>56</v>
      </c>
      <c r="I13" s="146" t="s">
        <v>9</v>
      </c>
    </row>
    <row r="14" spans="1:14" x14ac:dyDescent="0.2">
      <c r="A14" s="145"/>
      <c r="B14" s="132" t="s">
        <v>38</v>
      </c>
      <c r="C14" s="4" t="s">
        <v>10</v>
      </c>
      <c r="D14" s="45">
        <v>75850</v>
      </c>
      <c r="E14" s="45">
        <f>D14</f>
        <v>75850</v>
      </c>
      <c r="F14" s="45">
        <f t="shared" ref="F14:H14" si="0">E14</f>
        <v>75850</v>
      </c>
      <c r="G14" s="45">
        <f t="shared" si="0"/>
        <v>75850</v>
      </c>
      <c r="H14" s="46">
        <f t="shared" si="0"/>
        <v>75850</v>
      </c>
      <c r="I14" s="163"/>
      <c r="J14" s="24"/>
      <c r="K14" s="24"/>
      <c r="L14" s="24"/>
      <c r="M14" s="24"/>
      <c r="N14" s="24"/>
    </row>
    <row r="15" spans="1:14" x14ac:dyDescent="0.2">
      <c r="A15" s="145"/>
      <c r="B15" s="133"/>
      <c r="C15" s="19" t="s">
        <v>11</v>
      </c>
      <c r="D15" s="54">
        <v>13000</v>
      </c>
      <c r="E15" s="54">
        <v>11000</v>
      </c>
      <c r="F15" s="54">
        <v>9000</v>
      </c>
      <c r="G15" s="54">
        <v>7000</v>
      </c>
      <c r="H15" s="54">
        <v>5000</v>
      </c>
      <c r="I15" s="163"/>
    </row>
    <row r="16" spans="1:14" x14ac:dyDescent="0.2">
      <c r="A16" s="145"/>
      <c r="B16" s="133"/>
      <c r="C16" s="37" t="s">
        <v>44</v>
      </c>
      <c r="D16" s="32">
        <v>15500</v>
      </c>
      <c r="E16" s="32">
        <f>D16</f>
        <v>15500</v>
      </c>
      <c r="F16" s="32">
        <f t="shared" ref="F16:H16" si="1">E16</f>
        <v>15500</v>
      </c>
      <c r="G16" s="32">
        <f t="shared" si="1"/>
        <v>15500</v>
      </c>
      <c r="H16" s="32">
        <f t="shared" si="1"/>
        <v>15500</v>
      </c>
      <c r="I16" s="163"/>
    </row>
    <row r="17" spans="1:16" x14ac:dyDescent="0.2">
      <c r="A17" s="145"/>
      <c r="B17" s="133"/>
      <c r="C17" s="39" t="s">
        <v>47</v>
      </c>
      <c r="D17" s="32">
        <f>(((D14-D15)*0.95)*2)-D16*2</f>
        <v>88415</v>
      </c>
      <c r="E17" s="32">
        <f t="shared" ref="E17:H17" si="2">(((E14-E15)*0.95)*2)-E16*2</f>
        <v>92215</v>
      </c>
      <c r="F17" s="32">
        <f t="shared" si="2"/>
        <v>96015</v>
      </c>
      <c r="G17" s="32">
        <f t="shared" si="2"/>
        <v>99815</v>
      </c>
      <c r="H17" s="32">
        <f t="shared" si="2"/>
        <v>103615</v>
      </c>
      <c r="I17" s="163"/>
    </row>
    <row r="18" spans="1:16" ht="17" thickBot="1" x14ac:dyDescent="0.25">
      <c r="A18" s="145"/>
      <c r="B18" s="133"/>
      <c r="C18" s="39" t="s">
        <v>48</v>
      </c>
      <c r="D18" s="32">
        <f>(D14-D15)-D16</f>
        <v>47350</v>
      </c>
      <c r="E18" s="32">
        <f t="shared" ref="E18:H18" si="3">(E14-E15)-E16</f>
        <v>49350</v>
      </c>
      <c r="F18" s="32">
        <f t="shared" si="3"/>
        <v>51350</v>
      </c>
      <c r="G18" s="32">
        <f t="shared" si="3"/>
        <v>53350</v>
      </c>
      <c r="H18" s="32">
        <f t="shared" si="3"/>
        <v>55350</v>
      </c>
      <c r="I18" s="163"/>
      <c r="J18" s="24"/>
      <c r="K18" s="24"/>
      <c r="L18" s="24"/>
      <c r="M18" s="24"/>
      <c r="N18" s="24"/>
      <c r="O18" s="24"/>
    </row>
    <row r="19" spans="1:16" ht="16" customHeight="1" x14ac:dyDescent="0.2">
      <c r="A19" s="145"/>
      <c r="B19" s="132" t="s">
        <v>39</v>
      </c>
      <c r="C19" s="4" t="s">
        <v>12</v>
      </c>
      <c r="D19" s="6">
        <v>78000</v>
      </c>
      <c r="E19" s="6">
        <f t="shared" ref="E19:H19" si="4">D19</f>
        <v>78000</v>
      </c>
      <c r="F19" s="6">
        <f t="shared" si="4"/>
        <v>78000</v>
      </c>
      <c r="G19" s="6">
        <f t="shared" si="4"/>
        <v>78000</v>
      </c>
      <c r="H19" s="7">
        <f t="shared" si="4"/>
        <v>78000</v>
      </c>
      <c r="I19" s="163"/>
    </row>
    <row r="20" spans="1:16" x14ac:dyDescent="0.2">
      <c r="A20" s="145"/>
      <c r="B20" s="133"/>
      <c r="C20" s="19" t="s">
        <v>11</v>
      </c>
      <c r="D20" s="6">
        <f t="shared" ref="D20:H20" si="5">D15</f>
        <v>13000</v>
      </c>
      <c r="E20" s="6">
        <f t="shared" si="5"/>
        <v>11000</v>
      </c>
      <c r="F20" s="6">
        <f t="shared" si="5"/>
        <v>9000</v>
      </c>
      <c r="G20" s="6">
        <f t="shared" si="5"/>
        <v>7000</v>
      </c>
      <c r="H20" s="7">
        <f t="shared" si="5"/>
        <v>5000</v>
      </c>
      <c r="I20" s="163"/>
    </row>
    <row r="21" spans="1:16" x14ac:dyDescent="0.2">
      <c r="A21" s="145"/>
      <c r="B21" s="133"/>
      <c r="C21" s="38" t="s">
        <v>44</v>
      </c>
      <c r="D21" s="33">
        <f>D16</f>
        <v>15500</v>
      </c>
      <c r="E21" s="33">
        <f>D21</f>
        <v>15500</v>
      </c>
      <c r="F21" s="33">
        <f t="shared" ref="F21:H21" si="6">E21</f>
        <v>15500</v>
      </c>
      <c r="G21" s="33">
        <f t="shared" si="6"/>
        <v>15500</v>
      </c>
      <c r="H21" s="33">
        <f t="shared" si="6"/>
        <v>15500</v>
      </c>
      <c r="I21" s="163"/>
    </row>
    <row r="22" spans="1:16" x14ac:dyDescent="0.2">
      <c r="A22" s="145"/>
      <c r="B22" s="133"/>
      <c r="C22" s="40" t="s">
        <v>47</v>
      </c>
      <c r="D22" s="33">
        <f>(((D19-D20)*0.95)*2)-D21*2</f>
        <v>92500</v>
      </c>
      <c r="E22" s="33">
        <f t="shared" ref="E22:H22" si="7">(((E19-E20)*0.95)*2)-E21*2</f>
        <v>96300</v>
      </c>
      <c r="F22" s="33">
        <f t="shared" si="7"/>
        <v>100100</v>
      </c>
      <c r="G22" s="33">
        <f t="shared" si="7"/>
        <v>103900</v>
      </c>
      <c r="H22" s="33">
        <f t="shared" si="7"/>
        <v>107700</v>
      </c>
      <c r="I22" s="163"/>
    </row>
    <row r="23" spans="1:16" ht="17" thickBot="1" x14ac:dyDescent="0.25">
      <c r="A23" s="145"/>
      <c r="B23" s="133"/>
      <c r="C23" s="40" t="s">
        <v>48</v>
      </c>
      <c r="D23" s="33">
        <f>(D19-D20)-D21</f>
        <v>49500</v>
      </c>
      <c r="E23" s="33">
        <f t="shared" ref="E23:H23" si="8">(E19-E20)-E21</f>
        <v>51500</v>
      </c>
      <c r="F23" s="33">
        <f t="shared" si="8"/>
        <v>53500</v>
      </c>
      <c r="G23" s="33">
        <f t="shared" si="8"/>
        <v>55500</v>
      </c>
      <c r="H23" s="33">
        <f t="shared" si="8"/>
        <v>57500</v>
      </c>
      <c r="I23" s="163"/>
    </row>
    <row r="24" spans="1:16" ht="17" thickBot="1" x14ac:dyDescent="0.25">
      <c r="A24" s="145"/>
      <c r="B24" s="149" t="s">
        <v>13</v>
      </c>
      <c r="C24" s="150"/>
      <c r="D24" s="47">
        <f t="shared" ref="D24:H24" si="9">SUM(D17,D22)</f>
        <v>180915</v>
      </c>
      <c r="E24" s="47">
        <f t="shared" si="9"/>
        <v>188515</v>
      </c>
      <c r="F24" s="47">
        <f t="shared" si="9"/>
        <v>196115</v>
      </c>
      <c r="G24" s="47">
        <f t="shared" si="9"/>
        <v>203715</v>
      </c>
      <c r="H24" s="47">
        <f t="shared" si="9"/>
        <v>211315</v>
      </c>
      <c r="I24" s="163"/>
    </row>
    <row r="25" spans="1:16" ht="17" thickBot="1" x14ac:dyDescent="0.25">
      <c r="I25" s="163"/>
    </row>
    <row r="26" spans="1:16" ht="26" customHeight="1" x14ac:dyDescent="0.2">
      <c r="A26" s="142" t="s">
        <v>14</v>
      </c>
      <c r="B26" s="132" t="s">
        <v>38</v>
      </c>
      <c r="C26" s="48" t="s">
        <v>15</v>
      </c>
      <c r="D26" s="49">
        <f>D14*0.75</f>
        <v>56887.5</v>
      </c>
      <c r="E26" s="49">
        <f t="shared" ref="E26:H26" si="10">D26</f>
        <v>56887.5</v>
      </c>
      <c r="F26" s="49">
        <f t="shared" si="10"/>
        <v>56887.5</v>
      </c>
      <c r="G26" s="49">
        <f t="shared" si="10"/>
        <v>56887.5</v>
      </c>
      <c r="H26" s="50">
        <f t="shared" si="10"/>
        <v>56887.5</v>
      </c>
      <c r="I26" s="163"/>
    </row>
    <row r="27" spans="1:16" x14ac:dyDescent="0.2">
      <c r="A27" s="143"/>
      <c r="B27" s="133"/>
      <c r="C27" s="19" t="s">
        <v>11</v>
      </c>
      <c r="D27" s="54">
        <v>13000</v>
      </c>
      <c r="E27" s="54">
        <v>11000</v>
      </c>
      <c r="F27" s="54">
        <v>9000</v>
      </c>
      <c r="G27" s="54">
        <v>7000</v>
      </c>
      <c r="H27" s="54">
        <v>5000</v>
      </c>
      <c r="I27" s="163"/>
    </row>
    <row r="28" spans="1:16" x14ac:dyDescent="0.2">
      <c r="A28" s="143"/>
      <c r="B28" s="133"/>
      <c r="C28" s="37" t="s">
        <v>47</v>
      </c>
      <c r="D28" s="32">
        <f>((D26-D27)*0.95)*2</f>
        <v>83386.25</v>
      </c>
      <c r="E28" s="32">
        <f t="shared" ref="E28:H28" si="11">((E26-E27)*0.95)*2</f>
        <v>87186.25</v>
      </c>
      <c r="F28" s="32">
        <f t="shared" si="11"/>
        <v>90986.25</v>
      </c>
      <c r="G28" s="32">
        <f t="shared" si="11"/>
        <v>94786.25</v>
      </c>
      <c r="H28" s="32">
        <f t="shared" si="11"/>
        <v>98586.25</v>
      </c>
      <c r="I28" s="163"/>
      <c r="J28" s="24"/>
      <c r="K28" s="24"/>
      <c r="L28" s="24"/>
      <c r="M28" s="24"/>
      <c r="N28" s="24"/>
      <c r="O28" s="24"/>
    </row>
    <row r="29" spans="1:16" ht="17" thickBot="1" x14ac:dyDescent="0.25">
      <c r="A29" s="143"/>
      <c r="B29" s="133"/>
      <c r="C29" s="39" t="s">
        <v>48</v>
      </c>
      <c r="D29" s="32">
        <f>((D26-D27))</f>
        <v>43887.5</v>
      </c>
      <c r="E29" s="32">
        <f t="shared" ref="E29:H29" si="12">((E26-E27))</f>
        <v>45887.5</v>
      </c>
      <c r="F29" s="32">
        <f t="shared" si="12"/>
        <v>47887.5</v>
      </c>
      <c r="G29" s="32">
        <f t="shared" si="12"/>
        <v>49887.5</v>
      </c>
      <c r="H29" s="32">
        <f t="shared" si="12"/>
        <v>51887.5</v>
      </c>
      <c r="I29" s="163"/>
      <c r="J29" s="24"/>
      <c r="K29" s="24"/>
      <c r="L29" s="24"/>
      <c r="M29" s="24"/>
      <c r="N29" s="24"/>
      <c r="O29" s="24"/>
      <c r="P29" s="24"/>
    </row>
    <row r="30" spans="1:16" ht="24" x14ac:dyDescent="0.2">
      <c r="A30" s="143"/>
      <c r="B30" s="132" t="s">
        <v>39</v>
      </c>
      <c r="C30" s="44" t="s">
        <v>15</v>
      </c>
      <c r="D30" s="6">
        <f>D19*0.75</f>
        <v>58500</v>
      </c>
      <c r="E30" s="6">
        <f t="shared" ref="E30:H30" si="13">D30</f>
        <v>58500</v>
      </c>
      <c r="F30" s="6">
        <f t="shared" si="13"/>
        <v>58500</v>
      </c>
      <c r="G30" s="6">
        <f t="shared" si="13"/>
        <v>58500</v>
      </c>
      <c r="H30" s="7">
        <f t="shared" si="13"/>
        <v>58500</v>
      </c>
      <c r="I30" s="163"/>
    </row>
    <row r="31" spans="1:16" x14ac:dyDescent="0.2">
      <c r="A31" s="143"/>
      <c r="B31" s="133"/>
      <c r="C31" s="19" t="s">
        <v>11</v>
      </c>
      <c r="D31" s="6">
        <f t="shared" ref="D31:H31" si="14">D27</f>
        <v>13000</v>
      </c>
      <c r="E31" s="6">
        <f t="shared" si="14"/>
        <v>11000</v>
      </c>
      <c r="F31" s="6">
        <f t="shared" si="14"/>
        <v>9000</v>
      </c>
      <c r="G31" s="6">
        <f t="shared" si="14"/>
        <v>7000</v>
      </c>
      <c r="H31" s="7">
        <f t="shared" si="14"/>
        <v>5000</v>
      </c>
      <c r="I31" s="163"/>
    </row>
    <row r="32" spans="1:16" x14ac:dyDescent="0.2">
      <c r="A32" s="143"/>
      <c r="B32" s="133"/>
      <c r="C32" s="38" t="s">
        <v>47</v>
      </c>
      <c r="D32" s="33">
        <f>((D30-D31)*0.95)*2</f>
        <v>86450</v>
      </c>
      <c r="E32" s="33">
        <f t="shared" ref="E32:H32" si="15">((E30-E31)*0.95)*2</f>
        <v>90250</v>
      </c>
      <c r="F32" s="33">
        <f t="shared" si="15"/>
        <v>94050</v>
      </c>
      <c r="G32" s="33">
        <f t="shared" si="15"/>
        <v>97850</v>
      </c>
      <c r="H32" s="33">
        <f t="shared" si="15"/>
        <v>101650</v>
      </c>
      <c r="I32" s="163"/>
    </row>
    <row r="33" spans="1:10" ht="17" thickBot="1" x14ac:dyDescent="0.25">
      <c r="A33" s="143"/>
      <c r="B33" s="133"/>
      <c r="C33" s="40" t="s">
        <v>48</v>
      </c>
      <c r="D33" s="33">
        <f>((D30)-D31)</f>
        <v>45500</v>
      </c>
      <c r="E33" s="33">
        <f t="shared" ref="E33:H33" si="16">((E30)-E31)</f>
        <v>47500</v>
      </c>
      <c r="F33" s="33">
        <f t="shared" si="16"/>
        <v>49500</v>
      </c>
      <c r="G33" s="33">
        <f t="shared" si="16"/>
        <v>51500</v>
      </c>
      <c r="H33" s="33">
        <f t="shared" si="16"/>
        <v>53500</v>
      </c>
      <c r="I33" s="163"/>
    </row>
    <row r="34" spans="1:10" ht="16" customHeight="1" x14ac:dyDescent="0.2">
      <c r="A34" s="143"/>
      <c r="B34" s="147" t="s">
        <v>13</v>
      </c>
      <c r="C34" s="148"/>
      <c r="D34" s="51">
        <f t="shared" ref="D34:H34" si="17">SUM(D28,D32)</f>
        <v>169836.25</v>
      </c>
      <c r="E34" s="51">
        <f t="shared" si="17"/>
        <v>177436.25</v>
      </c>
      <c r="F34" s="51">
        <f t="shared" si="17"/>
        <v>185036.25</v>
      </c>
      <c r="G34" s="51">
        <f t="shared" si="17"/>
        <v>192636.25</v>
      </c>
      <c r="H34" s="51">
        <f t="shared" si="17"/>
        <v>200236.25</v>
      </c>
      <c r="I34" s="163"/>
    </row>
    <row r="35" spans="1:10" ht="16" customHeight="1" x14ac:dyDescent="0.2">
      <c r="A35" s="167" t="s">
        <v>16</v>
      </c>
      <c r="B35" s="168"/>
      <c r="C35" s="168"/>
      <c r="D35" s="168"/>
      <c r="E35" s="168"/>
      <c r="F35" s="168"/>
      <c r="G35" s="168"/>
      <c r="H35" s="168"/>
      <c r="I35" s="169"/>
    </row>
    <row r="36" spans="1:10" ht="16" customHeight="1" x14ac:dyDescent="0.2">
      <c r="A36" s="170"/>
      <c r="B36" s="171"/>
      <c r="C36" s="171"/>
      <c r="D36" s="171"/>
      <c r="E36" s="171"/>
      <c r="F36" s="171"/>
      <c r="G36" s="171"/>
      <c r="H36" s="171"/>
      <c r="I36" s="172"/>
    </row>
    <row r="37" spans="1:10" ht="16" customHeight="1" x14ac:dyDescent="0.2">
      <c r="A37" s="173"/>
      <c r="B37" s="174"/>
      <c r="C37" s="174"/>
      <c r="D37" s="174"/>
      <c r="E37" s="174"/>
      <c r="F37" s="174"/>
      <c r="G37" s="174"/>
      <c r="H37" s="174"/>
      <c r="I37" s="175"/>
    </row>
    <row r="38" spans="1:10" ht="16" customHeight="1" x14ac:dyDescent="0.2">
      <c r="A38" s="22" t="s">
        <v>17</v>
      </c>
      <c r="B38" s="23"/>
      <c r="C38" s="139" t="s">
        <v>18</v>
      </c>
      <c r="D38" s="139"/>
      <c r="E38" s="55">
        <v>5000</v>
      </c>
      <c r="F38" s="165"/>
      <c r="G38" s="165"/>
      <c r="H38" s="165"/>
      <c r="I38" s="165"/>
      <c r="J38" s="165"/>
    </row>
    <row r="39" spans="1:10" ht="17" customHeight="1" x14ac:dyDescent="0.2">
      <c r="A39" s="22"/>
      <c r="B39" s="23"/>
      <c r="C39" s="116" t="s">
        <v>19</v>
      </c>
      <c r="D39" s="116"/>
      <c r="E39" s="55">
        <v>3000</v>
      </c>
      <c r="F39" s="165"/>
      <c r="G39" s="165"/>
      <c r="H39" s="165"/>
      <c r="I39" s="165"/>
      <c r="J39" s="165"/>
    </row>
    <row r="40" spans="1:10" ht="17" thickBot="1" x14ac:dyDescent="0.25">
      <c r="A40" s="22"/>
      <c r="B40" s="23"/>
      <c r="C40" s="166" t="s">
        <v>20</v>
      </c>
      <c r="D40" s="166"/>
      <c r="E40" s="56">
        <v>3000</v>
      </c>
      <c r="F40" s="165"/>
      <c r="G40" s="165"/>
      <c r="H40" s="165"/>
      <c r="I40" s="165"/>
      <c r="J40" s="165"/>
    </row>
    <row r="41" spans="1:10" ht="46" customHeight="1" thickBot="1" x14ac:dyDescent="0.25">
      <c r="A41" s="14" t="s">
        <v>21</v>
      </c>
      <c r="B41" s="15" t="s">
        <v>22</v>
      </c>
      <c r="C41" s="17" t="s">
        <v>23</v>
      </c>
      <c r="D41" s="17" t="s">
        <v>24</v>
      </c>
      <c r="E41" s="17" t="s">
        <v>25</v>
      </c>
      <c r="F41" s="57" t="s">
        <v>26</v>
      </c>
      <c r="G41" s="15" t="s">
        <v>27</v>
      </c>
      <c r="H41" s="58" t="s">
        <v>28</v>
      </c>
      <c r="I41" s="15" t="s">
        <v>29</v>
      </c>
    </row>
    <row r="42" spans="1:10" ht="16" customHeight="1" thickBot="1" x14ac:dyDescent="0.25">
      <c r="A42" s="21" t="s">
        <v>30</v>
      </c>
      <c r="B42" s="18">
        <f>B43*2</f>
        <v>9000</v>
      </c>
      <c r="C42" s="18">
        <f t="shared" ref="C42:H42" si="18">C43*2</f>
        <v>5000</v>
      </c>
      <c r="D42" s="18">
        <v>1000</v>
      </c>
      <c r="E42" s="18">
        <f t="shared" si="18"/>
        <v>1500</v>
      </c>
      <c r="F42" s="18">
        <f t="shared" si="18"/>
        <v>1000</v>
      </c>
      <c r="G42" s="18">
        <f t="shared" si="18"/>
        <v>1000</v>
      </c>
      <c r="H42" s="18">
        <f t="shared" si="18"/>
        <v>2400</v>
      </c>
      <c r="I42" s="59">
        <f>SUM(B42:H42)</f>
        <v>20900</v>
      </c>
    </row>
    <row r="43" spans="1:10" ht="33" customHeight="1" x14ac:dyDescent="0.2">
      <c r="A43" s="52" t="s">
        <v>31</v>
      </c>
      <c r="B43" s="25">
        <v>4500</v>
      </c>
      <c r="C43" s="25">
        <v>2500</v>
      </c>
      <c r="D43" s="60">
        <v>1000</v>
      </c>
      <c r="E43" s="60">
        <v>750</v>
      </c>
      <c r="F43" s="60">
        <v>500</v>
      </c>
      <c r="G43" s="25">
        <v>500</v>
      </c>
      <c r="H43" s="25">
        <v>1200</v>
      </c>
      <c r="I43" s="61">
        <f>SUM(B43:H43)</f>
        <v>10950</v>
      </c>
    </row>
    <row r="44" spans="1:10" ht="15" customHeight="1" x14ac:dyDescent="0.2">
      <c r="A44" s="140" t="s">
        <v>45</v>
      </c>
      <c r="B44" s="140"/>
      <c r="C44" s="140"/>
      <c r="D44" s="140"/>
      <c r="E44" s="140"/>
      <c r="F44" s="140"/>
      <c r="G44" s="140"/>
      <c r="H44" s="140"/>
      <c r="I44" s="140"/>
    </row>
    <row r="45" spans="1:10" ht="19" customHeight="1" x14ac:dyDescent="0.2">
      <c r="A45" s="140" t="s">
        <v>46</v>
      </c>
      <c r="B45" s="140"/>
      <c r="C45" s="140"/>
      <c r="D45" s="140"/>
      <c r="E45" s="140"/>
      <c r="F45" s="140"/>
      <c r="G45" s="140"/>
      <c r="H45" s="140"/>
      <c r="I45" s="140"/>
    </row>
    <row r="46" spans="1:10" ht="37" customHeight="1" x14ac:dyDescent="0.2">
      <c r="A46" s="141" t="s">
        <v>43</v>
      </c>
      <c r="B46" s="141"/>
      <c r="C46" s="141"/>
      <c r="D46" s="141"/>
      <c r="E46" s="141"/>
      <c r="F46" s="141"/>
      <c r="G46" s="141"/>
      <c r="H46" s="141"/>
      <c r="I46" s="141"/>
    </row>
    <row r="47" spans="1:10" ht="43" customHeight="1" x14ac:dyDescent="0.2">
      <c r="A47" s="140" t="s">
        <v>32</v>
      </c>
      <c r="B47" s="140"/>
      <c r="C47" s="140"/>
      <c r="D47" s="140"/>
      <c r="E47" s="140"/>
      <c r="F47" s="140"/>
      <c r="G47" s="140"/>
      <c r="H47" s="140"/>
      <c r="I47" s="140"/>
    </row>
    <row r="50" ht="28" customHeight="1" x14ac:dyDescent="0.2"/>
    <row r="51" ht="13.5" customHeight="1" x14ac:dyDescent="0.2"/>
    <row r="53" ht="28.75" customHeight="1" x14ac:dyDescent="0.2"/>
    <row r="54" ht="39" customHeight="1" x14ac:dyDescent="0.2"/>
  </sheetData>
  <mergeCells count="20">
    <mergeCell ref="A1:I10"/>
    <mergeCell ref="A11:I12"/>
    <mergeCell ref="A13:A24"/>
    <mergeCell ref="I13:I34"/>
    <mergeCell ref="B14:B18"/>
    <mergeCell ref="B19:B23"/>
    <mergeCell ref="B24:C24"/>
    <mergeCell ref="A26:A34"/>
    <mergeCell ref="B26:B29"/>
    <mergeCell ref="B30:B33"/>
    <mergeCell ref="A44:I44"/>
    <mergeCell ref="A45:I45"/>
    <mergeCell ref="A46:I46"/>
    <mergeCell ref="A47:I47"/>
    <mergeCell ref="B34:C34"/>
    <mergeCell ref="A35:I37"/>
    <mergeCell ref="C38:D38"/>
    <mergeCell ref="F38:J40"/>
    <mergeCell ref="C39:D39"/>
    <mergeCell ref="C40:D40"/>
  </mergeCells>
  <pageMargins left="0.7" right="0.7" top="0.75" bottom="0.75" header="0.3" footer="0.3"/>
  <pageSetup paperSize="9" scale="42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7C673-40D3-A34E-9F8B-4AD94AADC10C}">
  <dimension ref="A1:P52"/>
  <sheetViews>
    <sheetView topLeftCell="A17" zoomScale="125" workbookViewId="0">
      <selection activeCell="A46" sqref="A46:I46"/>
    </sheetView>
  </sheetViews>
  <sheetFormatPr baseColWidth="10" defaultColWidth="8.83203125" defaultRowHeight="16" x14ac:dyDescent="0.2"/>
  <cols>
    <col min="1" max="1" width="17.33203125" customWidth="1"/>
    <col min="2" max="2" width="23" bestFit="1" customWidth="1"/>
    <col min="3" max="3" width="41.1640625" bestFit="1" customWidth="1"/>
    <col min="4" max="4" width="16.83203125" customWidth="1"/>
    <col min="5" max="5" width="15.1640625" customWidth="1"/>
    <col min="6" max="6" width="14.83203125" customWidth="1"/>
    <col min="7" max="7" width="18.1640625" customWidth="1"/>
    <col min="8" max="11" width="16.6640625" customWidth="1"/>
  </cols>
  <sheetData>
    <row r="1" spans="1:15" x14ac:dyDescent="0.2">
      <c r="A1" s="119"/>
      <c r="B1" s="119"/>
      <c r="C1" s="119"/>
      <c r="D1" s="119"/>
      <c r="E1" s="119"/>
      <c r="F1" s="119"/>
      <c r="G1" s="119"/>
      <c r="H1" s="119"/>
      <c r="I1" s="119"/>
      <c r="J1" s="119"/>
    </row>
    <row r="2" spans="1:15" x14ac:dyDescent="0.2">
      <c r="A2" s="119"/>
      <c r="B2" s="119"/>
      <c r="C2" s="119"/>
      <c r="D2" s="119"/>
      <c r="E2" s="119"/>
      <c r="F2" s="119"/>
      <c r="G2" s="119"/>
      <c r="H2" s="119"/>
      <c r="I2" s="119"/>
      <c r="J2" s="119"/>
    </row>
    <row r="3" spans="1:15" x14ac:dyDescent="0.2">
      <c r="A3" s="119"/>
      <c r="B3" s="119"/>
      <c r="C3" s="119"/>
      <c r="D3" s="119"/>
      <c r="E3" s="119"/>
      <c r="F3" s="119"/>
      <c r="G3" s="119"/>
      <c r="H3" s="119"/>
      <c r="I3" s="119"/>
      <c r="J3" s="119"/>
    </row>
    <row r="4" spans="1:15" x14ac:dyDescent="0.2">
      <c r="A4" s="119"/>
      <c r="B4" s="119"/>
      <c r="C4" s="119"/>
      <c r="D4" s="119"/>
      <c r="E4" s="119"/>
      <c r="F4" s="119"/>
      <c r="G4" s="119"/>
      <c r="H4" s="119"/>
      <c r="I4" s="119"/>
      <c r="J4" s="119"/>
    </row>
    <row r="5" spans="1:15" x14ac:dyDescent="0.2">
      <c r="A5" s="119"/>
      <c r="B5" s="119"/>
      <c r="C5" s="119"/>
      <c r="D5" s="119"/>
      <c r="E5" s="119"/>
      <c r="F5" s="119"/>
      <c r="G5" s="119"/>
      <c r="H5" s="119"/>
      <c r="I5" s="119"/>
      <c r="J5" s="119"/>
    </row>
    <row r="6" spans="1:15" x14ac:dyDescent="0.2">
      <c r="A6" s="119"/>
      <c r="B6" s="119"/>
      <c r="C6" s="119"/>
      <c r="D6" s="119"/>
      <c r="E6" s="119"/>
      <c r="F6" s="119"/>
      <c r="G6" s="119"/>
      <c r="H6" s="119"/>
      <c r="I6" s="119"/>
      <c r="J6" s="119"/>
    </row>
    <row r="7" spans="1:15" x14ac:dyDescent="0.2">
      <c r="A7" s="119"/>
      <c r="B7" s="119"/>
      <c r="C7" s="119"/>
      <c r="D7" s="119"/>
      <c r="E7" s="119"/>
      <c r="F7" s="119"/>
      <c r="G7" s="119"/>
      <c r="H7" s="119"/>
      <c r="I7" s="119"/>
      <c r="J7" s="119"/>
    </row>
    <row r="8" spans="1:15" x14ac:dyDescent="0.2">
      <c r="A8" s="119"/>
      <c r="B8" s="119"/>
      <c r="C8" s="119"/>
      <c r="D8" s="119"/>
      <c r="E8" s="119"/>
      <c r="F8" s="119"/>
      <c r="G8" s="119"/>
      <c r="H8" s="119"/>
      <c r="I8" s="119"/>
      <c r="J8" s="119"/>
    </row>
    <row r="9" spans="1:15" x14ac:dyDescent="0.2">
      <c r="A9" s="119"/>
      <c r="B9" s="119"/>
      <c r="C9" s="119"/>
      <c r="D9" s="119"/>
      <c r="E9" s="119"/>
      <c r="F9" s="119"/>
      <c r="G9" s="119"/>
      <c r="H9" s="119"/>
      <c r="I9" s="119"/>
      <c r="J9" s="119"/>
    </row>
    <row r="10" spans="1:15" x14ac:dyDescent="0.2">
      <c r="A10" s="119"/>
      <c r="B10" s="119"/>
      <c r="C10" s="119"/>
      <c r="D10" s="119"/>
      <c r="E10" s="119"/>
      <c r="F10" s="119"/>
      <c r="G10" s="119"/>
      <c r="H10" s="119"/>
      <c r="I10" s="119"/>
      <c r="J10" s="119"/>
    </row>
    <row r="11" spans="1:15" ht="14.5" customHeight="1" x14ac:dyDescent="0.2">
      <c r="A11" s="151" t="s">
        <v>79</v>
      </c>
      <c r="B11" s="152"/>
      <c r="C11" s="152"/>
      <c r="D11" s="152"/>
      <c r="E11" s="152"/>
      <c r="F11" s="152"/>
      <c r="G11" s="152"/>
      <c r="H11" s="152"/>
      <c r="I11" s="152"/>
      <c r="J11" s="152"/>
    </row>
    <row r="12" spans="1:15" ht="92" customHeight="1" x14ac:dyDescent="0.2">
      <c r="A12" s="157"/>
      <c r="B12" s="158"/>
      <c r="C12" s="158"/>
      <c r="D12" s="158"/>
      <c r="E12" s="158"/>
      <c r="F12" s="158"/>
      <c r="G12" s="158"/>
      <c r="H12" s="158"/>
      <c r="I12" s="158"/>
      <c r="J12" s="158"/>
    </row>
    <row r="13" spans="1:15" ht="85.25" customHeight="1" thickBot="1" x14ac:dyDescent="0.25">
      <c r="A13" s="144" t="s">
        <v>0</v>
      </c>
      <c r="B13" s="1" t="s">
        <v>1</v>
      </c>
      <c r="C13" s="2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198" t="s">
        <v>9</v>
      </c>
    </row>
    <row r="14" spans="1:15" x14ac:dyDescent="0.2">
      <c r="A14" s="145"/>
      <c r="B14" s="132" t="s">
        <v>38</v>
      </c>
      <c r="C14" s="4" t="s">
        <v>10</v>
      </c>
      <c r="D14" s="6">
        <v>123100</v>
      </c>
      <c r="E14" s="6">
        <f>D14</f>
        <v>123100</v>
      </c>
      <c r="F14" s="6">
        <f t="shared" ref="F14:I14" si="0">E14</f>
        <v>123100</v>
      </c>
      <c r="G14" s="6">
        <f t="shared" si="0"/>
        <v>123100</v>
      </c>
      <c r="H14" s="7">
        <f t="shared" si="0"/>
        <v>123100</v>
      </c>
      <c r="I14" s="7">
        <f t="shared" si="0"/>
        <v>123100</v>
      </c>
      <c r="J14" s="199"/>
      <c r="K14" s="24"/>
      <c r="L14" s="24"/>
      <c r="M14" s="24"/>
      <c r="N14" s="24"/>
      <c r="O14" s="24"/>
    </row>
    <row r="15" spans="1:15" x14ac:dyDescent="0.2">
      <c r="A15" s="145"/>
      <c r="B15" s="133"/>
      <c r="C15" s="19" t="s">
        <v>11</v>
      </c>
      <c r="D15" s="6">
        <v>25400</v>
      </c>
      <c r="E15" s="6">
        <v>21400</v>
      </c>
      <c r="F15" s="6">
        <v>18400</v>
      </c>
      <c r="G15" s="6">
        <v>15400</v>
      </c>
      <c r="H15" s="7">
        <v>11400</v>
      </c>
      <c r="I15" s="7">
        <v>9400</v>
      </c>
      <c r="J15" s="199"/>
    </row>
    <row r="16" spans="1:15" x14ac:dyDescent="0.2">
      <c r="A16" s="145"/>
      <c r="B16" s="133"/>
      <c r="C16" s="37" t="s">
        <v>44</v>
      </c>
      <c r="D16" s="32">
        <v>25500</v>
      </c>
      <c r="E16" s="32">
        <f>D16</f>
        <v>25500</v>
      </c>
      <c r="F16" s="32">
        <f t="shared" ref="F16:I16" si="1">E16</f>
        <v>25500</v>
      </c>
      <c r="G16" s="32">
        <f t="shared" si="1"/>
        <v>25500</v>
      </c>
      <c r="H16" s="32">
        <f t="shared" si="1"/>
        <v>25500</v>
      </c>
      <c r="I16" s="32">
        <f t="shared" si="1"/>
        <v>25500</v>
      </c>
      <c r="J16" s="199"/>
    </row>
    <row r="17" spans="1:16" x14ac:dyDescent="0.2">
      <c r="A17" s="145"/>
      <c r="B17" s="133"/>
      <c r="C17" s="39" t="s">
        <v>47</v>
      </c>
      <c r="D17" s="32">
        <f>(((D14-D15)*0.95)*2)-D16*2</f>
        <v>134630</v>
      </c>
      <c r="E17" s="32">
        <f t="shared" ref="E17:H17" si="2">(((E14-E15)*0.95)*2)-E16*2</f>
        <v>142230</v>
      </c>
      <c r="F17" s="32">
        <f t="shared" si="2"/>
        <v>147930</v>
      </c>
      <c r="G17" s="32">
        <f t="shared" si="2"/>
        <v>153630</v>
      </c>
      <c r="H17" s="32">
        <f t="shared" si="2"/>
        <v>161230</v>
      </c>
      <c r="I17" s="32">
        <f>(((I14-I15)*0.95)*2)-I16*2</f>
        <v>165030</v>
      </c>
      <c r="J17" s="199"/>
    </row>
    <row r="18" spans="1:16" ht="17" thickBot="1" x14ac:dyDescent="0.25">
      <c r="A18" s="145"/>
      <c r="B18" s="133"/>
      <c r="C18" s="39" t="s">
        <v>48</v>
      </c>
      <c r="D18" s="32">
        <f>(D14-D15)-D16</f>
        <v>72200</v>
      </c>
      <c r="E18" s="32">
        <f t="shared" ref="E18:I18" si="3">(E14-E15)-E16</f>
        <v>76200</v>
      </c>
      <c r="F18" s="32">
        <f t="shared" si="3"/>
        <v>79200</v>
      </c>
      <c r="G18" s="32">
        <f t="shared" si="3"/>
        <v>82200</v>
      </c>
      <c r="H18" s="32">
        <f t="shared" si="3"/>
        <v>86200</v>
      </c>
      <c r="I18" s="32">
        <f t="shared" si="3"/>
        <v>88200</v>
      </c>
      <c r="J18" s="199"/>
      <c r="K18" s="24"/>
      <c r="L18" s="24"/>
      <c r="M18" s="24"/>
      <c r="N18" s="24"/>
      <c r="O18" s="24"/>
      <c r="P18" s="24"/>
    </row>
    <row r="19" spans="1:16" ht="16" customHeight="1" x14ac:dyDescent="0.2">
      <c r="A19" s="145"/>
      <c r="B19" s="132" t="s">
        <v>39</v>
      </c>
      <c r="C19" s="4" t="s">
        <v>12</v>
      </c>
      <c r="D19" s="6">
        <v>127600</v>
      </c>
      <c r="E19" s="6">
        <f t="shared" ref="E19:I19" si="4">D19</f>
        <v>127600</v>
      </c>
      <c r="F19" s="6">
        <f t="shared" si="4"/>
        <v>127600</v>
      </c>
      <c r="G19" s="6">
        <f t="shared" si="4"/>
        <v>127600</v>
      </c>
      <c r="H19" s="7">
        <f t="shared" si="4"/>
        <v>127600</v>
      </c>
      <c r="I19" s="7">
        <f t="shared" si="4"/>
        <v>127600</v>
      </c>
      <c r="J19" s="199"/>
    </row>
    <row r="20" spans="1:16" x14ac:dyDescent="0.2">
      <c r="A20" s="145"/>
      <c r="B20" s="133"/>
      <c r="C20" s="19" t="s">
        <v>11</v>
      </c>
      <c r="D20" s="6">
        <f t="shared" ref="D20:I20" si="5">D15</f>
        <v>25400</v>
      </c>
      <c r="E20" s="6">
        <f t="shared" si="5"/>
        <v>21400</v>
      </c>
      <c r="F20" s="6">
        <f t="shared" si="5"/>
        <v>18400</v>
      </c>
      <c r="G20" s="6">
        <f t="shared" si="5"/>
        <v>15400</v>
      </c>
      <c r="H20" s="7">
        <f t="shared" si="5"/>
        <v>11400</v>
      </c>
      <c r="I20" s="7">
        <f t="shared" si="5"/>
        <v>9400</v>
      </c>
      <c r="J20" s="199"/>
    </row>
    <row r="21" spans="1:16" x14ac:dyDescent="0.2">
      <c r="A21" s="145"/>
      <c r="B21" s="133"/>
      <c r="C21" s="38" t="s">
        <v>44</v>
      </c>
      <c r="D21" s="33">
        <f>D16</f>
        <v>25500</v>
      </c>
      <c r="E21" s="33">
        <f>D21</f>
        <v>25500</v>
      </c>
      <c r="F21" s="33">
        <f t="shared" ref="F21:I21" si="6">E21</f>
        <v>25500</v>
      </c>
      <c r="G21" s="33">
        <f t="shared" si="6"/>
        <v>25500</v>
      </c>
      <c r="H21" s="33">
        <f t="shared" si="6"/>
        <v>25500</v>
      </c>
      <c r="I21" s="33">
        <f t="shared" si="6"/>
        <v>25500</v>
      </c>
      <c r="J21" s="199"/>
    </row>
    <row r="22" spans="1:16" x14ac:dyDescent="0.2">
      <c r="A22" s="145"/>
      <c r="B22" s="133"/>
      <c r="C22" s="40" t="s">
        <v>47</v>
      </c>
      <c r="D22" s="33">
        <f>(((D19-D20)*0.95)*2)-D21*2</f>
        <v>143180</v>
      </c>
      <c r="E22" s="33">
        <f t="shared" ref="E22:I22" si="7">(((E19-E20)*0.95)*2)-E21*2</f>
        <v>150780</v>
      </c>
      <c r="F22" s="33">
        <f t="shared" si="7"/>
        <v>156480</v>
      </c>
      <c r="G22" s="33">
        <f t="shared" si="7"/>
        <v>162180</v>
      </c>
      <c r="H22" s="33">
        <f t="shared" si="7"/>
        <v>169780</v>
      </c>
      <c r="I22" s="33">
        <f t="shared" si="7"/>
        <v>173580</v>
      </c>
      <c r="J22" s="199"/>
    </row>
    <row r="23" spans="1:16" x14ac:dyDescent="0.2">
      <c r="A23" s="145"/>
      <c r="B23" s="133"/>
      <c r="C23" s="40" t="s">
        <v>48</v>
      </c>
      <c r="D23" s="33">
        <f>(D19-D20)-D21</f>
        <v>76700</v>
      </c>
      <c r="E23" s="33">
        <f t="shared" ref="E23:I23" si="8">(E19-E20)-E21</f>
        <v>80700</v>
      </c>
      <c r="F23" s="33">
        <f t="shared" si="8"/>
        <v>83700</v>
      </c>
      <c r="G23" s="33">
        <f t="shared" si="8"/>
        <v>86700</v>
      </c>
      <c r="H23" s="33">
        <f t="shared" si="8"/>
        <v>90700</v>
      </c>
      <c r="I23" s="33">
        <f t="shared" si="8"/>
        <v>92700</v>
      </c>
      <c r="J23" s="199"/>
    </row>
    <row r="24" spans="1:16" x14ac:dyDescent="0.2">
      <c r="A24" s="145"/>
      <c r="B24" s="149" t="s">
        <v>13</v>
      </c>
      <c r="C24" s="150"/>
      <c r="D24" s="5">
        <f t="shared" ref="D24:I24" si="9">SUM(D17,D22)</f>
        <v>277810</v>
      </c>
      <c r="E24" s="5">
        <f t="shared" si="9"/>
        <v>293010</v>
      </c>
      <c r="F24" s="5">
        <f t="shared" si="9"/>
        <v>304410</v>
      </c>
      <c r="G24" s="5">
        <f t="shared" si="9"/>
        <v>315810</v>
      </c>
      <c r="H24" s="5">
        <f t="shared" si="9"/>
        <v>331010</v>
      </c>
      <c r="I24" s="5">
        <f t="shared" si="9"/>
        <v>338610</v>
      </c>
      <c r="J24" s="199"/>
    </row>
    <row r="25" spans="1:16" ht="17" thickBot="1" x14ac:dyDescent="0.25">
      <c r="J25" s="199"/>
    </row>
    <row r="26" spans="1:16" ht="26" customHeight="1" x14ac:dyDescent="0.2">
      <c r="A26" s="142" t="s">
        <v>14</v>
      </c>
      <c r="B26" s="132" t="s">
        <v>38</v>
      </c>
      <c r="C26" s="19" t="s">
        <v>15</v>
      </c>
      <c r="D26" s="6">
        <f>D14*0.75</f>
        <v>92325</v>
      </c>
      <c r="E26" s="6">
        <f t="shared" ref="E26:I26" si="10">D26</f>
        <v>92325</v>
      </c>
      <c r="F26" s="6">
        <f t="shared" si="10"/>
        <v>92325</v>
      </c>
      <c r="G26" s="6">
        <f t="shared" si="10"/>
        <v>92325</v>
      </c>
      <c r="H26" s="7">
        <f t="shared" si="10"/>
        <v>92325</v>
      </c>
      <c r="I26" s="7">
        <f t="shared" si="10"/>
        <v>92325</v>
      </c>
      <c r="J26" s="199"/>
    </row>
    <row r="27" spans="1:16" x14ac:dyDescent="0.2">
      <c r="A27" s="143"/>
      <c r="B27" s="133"/>
      <c r="C27" s="19" t="s">
        <v>11</v>
      </c>
      <c r="D27" s="6">
        <v>26700</v>
      </c>
      <c r="E27" s="6">
        <v>22500</v>
      </c>
      <c r="F27" s="6">
        <v>19300</v>
      </c>
      <c r="G27" s="6">
        <v>16200</v>
      </c>
      <c r="H27" s="7">
        <v>12000</v>
      </c>
      <c r="I27" s="7">
        <v>9900</v>
      </c>
      <c r="J27" s="199"/>
    </row>
    <row r="28" spans="1:16" x14ac:dyDescent="0.2">
      <c r="A28" s="143"/>
      <c r="B28" s="133"/>
      <c r="C28" s="37" t="s">
        <v>47</v>
      </c>
      <c r="D28" s="32">
        <f>((D26-D27)*0.95)*2</f>
        <v>124687.5</v>
      </c>
      <c r="E28" s="32">
        <f t="shared" ref="E28:I28" si="11">((E26-E27)*0.95)*2</f>
        <v>132667.5</v>
      </c>
      <c r="F28" s="32">
        <f t="shared" si="11"/>
        <v>138747.5</v>
      </c>
      <c r="G28" s="32">
        <f t="shared" si="11"/>
        <v>144637.5</v>
      </c>
      <c r="H28" s="32">
        <f t="shared" si="11"/>
        <v>152617.5</v>
      </c>
      <c r="I28" s="32">
        <f t="shared" si="11"/>
        <v>156607.5</v>
      </c>
      <c r="J28" s="199"/>
    </row>
    <row r="29" spans="1:16" ht="17" thickBot="1" x14ac:dyDescent="0.25">
      <c r="A29" s="143"/>
      <c r="B29" s="133"/>
      <c r="C29" s="39" t="s">
        <v>48</v>
      </c>
      <c r="D29" s="32">
        <f>((D26-D27))</f>
        <v>65625</v>
      </c>
      <c r="E29" s="32">
        <f t="shared" ref="E29:I29" si="12">((E26-E27))</f>
        <v>69825</v>
      </c>
      <c r="F29" s="32">
        <f t="shared" si="12"/>
        <v>73025</v>
      </c>
      <c r="G29" s="32">
        <f t="shared" si="12"/>
        <v>76125</v>
      </c>
      <c r="H29" s="32">
        <f t="shared" si="12"/>
        <v>80325</v>
      </c>
      <c r="I29" s="32">
        <f t="shared" si="12"/>
        <v>82425</v>
      </c>
      <c r="J29" s="199"/>
      <c r="K29" s="24"/>
      <c r="L29" s="24"/>
      <c r="M29" s="24"/>
      <c r="N29" s="24"/>
      <c r="O29" s="24"/>
      <c r="P29" s="24"/>
    </row>
    <row r="30" spans="1:16" x14ac:dyDescent="0.2">
      <c r="A30" s="143"/>
      <c r="B30" s="132" t="s">
        <v>39</v>
      </c>
      <c r="C30" s="4" t="s">
        <v>15</v>
      </c>
      <c r="D30" s="6">
        <f>D19*0.75</f>
        <v>95700</v>
      </c>
      <c r="E30" s="6">
        <f t="shared" ref="E30:I30" si="13">D30</f>
        <v>95700</v>
      </c>
      <c r="F30" s="6">
        <f t="shared" si="13"/>
        <v>95700</v>
      </c>
      <c r="G30" s="6">
        <f t="shared" si="13"/>
        <v>95700</v>
      </c>
      <c r="H30" s="7">
        <f t="shared" si="13"/>
        <v>95700</v>
      </c>
      <c r="I30" s="7">
        <f t="shared" si="13"/>
        <v>95700</v>
      </c>
      <c r="J30" s="199"/>
    </row>
    <row r="31" spans="1:16" x14ac:dyDescent="0.2">
      <c r="A31" s="143"/>
      <c r="B31" s="133"/>
      <c r="C31" s="19" t="s">
        <v>11</v>
      </c>
      <c r="D31" s="6">
        <f t="shared" ref="D31:I31" si="14">D27</f>
        <v>26700</v>
      </c>
      <c r="E31" s="6">
        <f t="shared" si="14"/>
        <v>22500</v>
      </c>
      <c r="F31" s="6">
        <f t="shared" si="14"/>
        <v>19300</v>
      </c>
      <c r="G31" s="6">
        <f t="shared" si="14"/>
        <v>16200</v>
      </c>
      <c r="H31" s="7">
        <f t="shared" si="14"/>
        <v>12000</v>
      </c>
      <c r="I31" s="7">
        <f t="shared" si="14"/>
        <v>9900</v>
      </c>
      <c r="J31" s="199"/>
    </row>
    <row r="32" spans="1:16" x14ac:dyDescent="0.2">
      <c r="A32" s="143"/>
      <c r="B32" s="133"/>
      <c r="C32" s="38" t="s">
        <v>47</v>
      </c>
      <c r="D32" s="33">
        <f>((D30-D31)*0.95)*2</f>
        <v>131100</v>
      </c>
      <c r="E32" s="33">
        <f t="shared" ref="E32:I32" si="15">((E30-E31)*0.95)*2</f>
        <v>139080</v>
      </c>
      <c r="F32" s="33">
        <f t="shared" si="15"/>
        <v>145160</v>
      </c>
      <c r="G32" s="33">
        <f t="shared" si="15"/>
        <v>151050</v>
      </c>
      <c r="H32" s="33">
        <f t="shared" si="15"/>
        <v>159030</v>
      </c>
      <c r="I32" s="33">
        <f t="shared" si="15"/>
        <v>163020</v>
      </c>
      <c r="J32" s="199"/>
    </row>
    <row r="33" spans="1:10" x14ac:dyDescent="0.2">
      <c r="A33" s="143"/>
      <c r="B33" s="133"/>
      <c r="C33" s="40" t="s">
        <v>48</v>
      </c>
      <c r="D33" s="33">
        <f>((D30)-D31)</f>
        <v>69000</v>
      </c>
      <c r="E33" s="33">
        <f t="shared" ref="E33:I33" si="16">((E30)-E31)</f>
        <v>73200</v>
      </c>
      <c r="F33" s="33">
        <f t="shared" si="16"/>
        <v>76400</v>
      </c>
      <c r="G33" s="33">
        <f t="shared" si="16"/>
        <v>79500</v>
      </c>
      <c r="H33" s="33">
        <f t="shared" si="16"/>
        <v>83700</v>
      </c>
      <c r="I33" s="33">
        <f t="shared" si="16"/>
        <v>85800</v>
      </c>
      <c r="J33" s="199"/>
    </row>
    <row r="34" spans="1:10" ht="16" customHeight="1" x14ac:dyDescent="0.2">
      <c r="A34" s="143"/>
      <c r="B34" s="147" t="s">
        <v>13</v>
      </c>
      <c r="C34" s="148"/>
      <c r="D34" s="5">
        <f t="shared" ref="D34:I34" si="17">SUM(D28,D32)</f>
        <v>255787.5</v>
      </c>
      <c r="E34" s="5">
        <f t="shared" si="17"/>
        <v>271747.5</v>
      </c>
      <c r="F34" s="5">
        <f t="shared" si="17"/>
        <v>283907.5</v>
      </c>
      <c r="G34" s="5">
        <f t="shared" si="17"/>
        <v>295687.5</v>
      </c>
      <c r="H34" s="5">
        <f t="shared" si="17"/>
        <v>311647.5</v>
      </c>
      <c r="I34" s="5">
        <f t="shared" si="17"/>
        <v>319627.5</v>
      </c>
      <c r="J34" s="200"/>
    </row>
    <row r="35" spans="1:10" x14ac:dyDescent="0.2">
      <c r="A35" s="167" t="s">
        <v>16</v>
      </c>
      <c r="B35" s="168"/>
      <c r="C35" s="168"/>
      <c r="D35" s="168"/>
      <c r="E35" s="168"/>
      <c r="F35" s="168"/>
      <c r="G35" s="168"/>
      <c r="H35" s="168"/>
      <c r="I35" s="168"/>
      <c r="J35" s="169"/>
    </row>
    <row r="36" spans="1:10" x14ac:dyDescent="0.2">
      <c r="A36" s="170"/>
      <c r="B36" s="171"/>
      <c r="C36" s="171"/>
      <c r="D36" s="171"/>
      <c r="E36" s="171"/>
      <c r="F36" s="171"/>
      <c r="G36" s="171"/>
      <c r="H36" s="171"/>
      <c r="I36" s="171"/>
      <c r="J36" s="172"/>
    </row>
    <row r="37" spans="1:10" ht="16" customHeight="1" x14ac:dyDescent="0.2">
      <c r="A37" s="173"/>
      <c r="B37" s="174"/>
      <c r="C37" s="174"/>
      <c r="D37" s="174"/>
      <c r="E37" s="174"/>
      <c r="F37" s="174"/>
      <c r="G37" s="174"/>
      <c r="H37" s="174"/>
      <c r="I37" s="174"/>
      <c r="J37" s="175"/>
    </row>
    <row r="38" spans="1:10" ht="16" customHeight="1" x14ac:dyDescent="0.2">
      <c r="A38" s="22" t="s">
        <v>17</v>
      </c>
      <c r="B38" s="23"/>
      <c r="C38" s="139" t="s">
        <v>18</v>
      </c>
      <c r="D38" s="139"/>
      <c r="E38" s="8">
        <v>15000</v>
      </c>
      <c r="F38" s="195"/>
      <c r="G38" s="196"/>
      <c r="H38" s="196"/>
      <c r="I38" s="196"/>
      <c r="J38" s="196"/>
    </row>
    <row r="39" spans="1:10" ht="17" customHeight="1" x14ac:dyDescent="0.2">
      <c r="A39" s="22"/>
      <c r="B39" s="23"/>
      <c r="C39" s="116" t="s">
        <v>19</v>
      </c>
      <c r="D39" s="116"/>
      <c r="E39" s="11">
        <v>3000</v>
      </c>
      <c r="F39" s="197"/>
      <c r="G39" s="165"/>
      <c r="H39" s="165"/>
      <c r="I39" s="165"/>
      <c r="J39" s="165"/>
    </row>
    <row r="40" spans="1:10" x14ac:dyDescent="0.2">
      <c r="A40" s="22"/>
      <c r="B40" s="23"/>
      <c r="C40" s="166" t="s">
        <v>20</v>
      </c>
      <c r="D40" s="166"/>
      <c r="E40" s="25">
        <v>5000</v>
      </c>
      <c r="F40" s="197"/>
      <c r="G40" s="165"/>
      <c r="H40" s="165"/>
      <c r="I40" s="165"/>
      <c r="J40" s="165"/>
    </row>
    <row r="41" spans="1:10" ht="46" customHeight="1" x14ac:dyDescent="0.2">
      <c r="A41" s="26" t="s">
        <v>21</v>
      </c>
      <c r="B41" s="26" t="s">
        <v>22</v>
      </c>
      <c r="C41" s="27" t="s">
        <v>23</v>
      </c>
      <c r="D41" s="27" t="s">
        <v>24</v>
      </c>
      <c r="E41" s="27" t="s">
        <v>25</v>
      </c>
      <c r="F41" s="27" t="s">
        <v>26</v>
      </c>
      <c r="G41" s="26" t="s">
        <v>27</v>
      </c>
      <c r="H41" s="26" t="s">
        <v>28</v>
      </c>
      <c r="I41" s="26" t="s">
        <v>29</v>
      </c>
    </row>
    <row r="42" spans="1:10" ht="16" customHeight="1" x14ac:dyDescent="0.2">
      <c r="A42" s="21" t="s">
        <v>30</v>
      </c>
      <c r="B42" s="11">
        <f>B43*2</f>
        <v>7000</v>
      </c>
      <c r="C42" s="11">
        <f t="shared" ref="C42:H42" si="18">C43*2</f>
        <v>5000</v>
      </c>
      <c r="D42" s="28">
        <f>D43</f>
        <v>1000</v>
      </c>
      <c r="E42" s="11">
        <f t="shared" si="18"/>
        <v>1500</v>
      </c>
      <c r="F42" s="11">
        <f t="shared" si="18"/>
        <v>1000</v>
      </c>
      <c r="G42" s="11">
        <f t="shared" si="18"/>
        <v>1000</v>
      </c>
      <c r="H42" s="11">
        <f t="shared" si="18"/>
        <v>4000</v>
      </c>
      <c r="I42" s="11">
        <f>SUM(B42:H42)</f>
        <v>20500</v>
      </c>
    </row>
    <row r="43" spans="1:10" ht="17" customHeight="1" x14ac:dyDescent="0.2">
      <c r="A43" s="21" t="s">
        <v>31</v>
      </c>
      <c r="B43" s="11">
        <v>3500</v>
      </c>
      <c r="C43" s="11">
        <v>2500</v>
      </c>
      <c r="D43" s="28">
        <v>1000</v>
      </c>
      <c r="E43" s="28">
        <v>750</v>
      </c>
      <c r="F43" s="28">
        <v>500</v>
      </c>
      <c r="G43" s="11">
        <v>500</v>
      </c>
      <c r="H43" s="11">
        <v>2000</v>
      </c>
      <c r="I43" s="11">
        <f>SUM(B43:H43)</f>
        <v>10750</v>
      </c>
    </row>
    <row r="44" spans="1:10" ht="27" customHeight="1" x14ac:dyDescent="0.2">
      <c r="A44" s="140" t="s">
        <v>45</v>
      </c>
      <c r="B44" s="140"/>
      <c r="C44" s="140"/>
      <c r="D44" s="140"/>
      <c r="E44" s="140"/>
      <c r="F44" s="140"/>
      <c r="G44" s="140"/>
      <c r="H44" s="140"/>
      <c r="I44" s="140"/>
    </row>
    <row r="45" spans="1:10" ht="27" customHeight="1" x14ac:dyDescent="0.2">
      <c r="A45" s="140" t="s">
        <v>46</v>
      </c>
      <c r="B45" s="140"/>
      <c r="C45" s="140"/>
      <c r="D45" s="140"/>
      <c r="E45" s="140"/>
      <c r="F45" s="140"/>
      <c r="G45" s="140"/>
      <c r="H45" s="140"/>
      <c r="I45" s="140"/>
    </row>
    <row r="46" spans="1:10" ht="43" customHeight="1" x14ac:dyDescent="0.2">
      <c r="A46" s="141" t="s">
        <v>43</v>
      </c>
      <c r="B46" s="141"/>
      <c r="C46" s="141"/>
      <c r="D46" s="141"/>
      <c r="E46" s="141"/>
      <c r="F46" s="141"/>
      <c r="G46" s="141"/>
      <c r="H46" s="141"/>
      <c r="I46" s="141"/>
    </row>
    <row r="47" spans="1:10" x14ac:dyDescent="0.2">
      <c r="A47" s="140" t="s">
        <v>32</v>
      </c>
      <c r="B47" s="140"/>
      <c r="C47" s="140"/>
      <c r="D47" s="140"/>
      <c r="E47" s="140"/>
      <c r="F47" s="140"/>
      <c r="G47" s="140"/>
      <c r="H47" s="140"/>
      <c r="I47" s="140"/>
    </row>
    <row r="48" spans="1:10" ht="28" customHeight="1" x14ac:dyDescent="0.2">
      <c r="A48" s="194" t="s">
        <v>99</v>
      </c>
      <c r="B48" s="194"/>
      <c r="C48" s="194"/>
      <c r="D48" s="194"/>
      <c r="E48" s="194"/>
      <c r="F48" s="194"/>
      <c r="G48" s="194"/>
      <c r="H48" s="194"/>
      <c r="I48" s="194"/>
    </row>
    <row r="49" ht="13.5" customHeight="1" x14ac:dyDescent="0.2"/>
    <row r="51" ht="28.75" customHeight="1" x14ac:dyDescent="0.2"/>
    <row r="52" ht="39" customHeight="1" x14ac:dyDescent="0.2"/>
  </sheetData>
  <mergeCells count="21">
    <mergeCell ref="A1:J10"/>
    <mergeCell ref="B14:B18"/>
    <mergeCell ref="B19:B23"/>
    <mergeCell ref="B24:C24"/>
    <mergeCell ref="A11:J12"/>
    <mergeCell ref="J13:J34"/>
    <mergeCell ref="A13:A24"/>
    <mergeCell ref="A26:A34"/>
    <mergeCell ref="A48:I48"/>
    <mergeCell ref="B26:B29"/>
    <mergeCell ref="B30:B33"/>
    <mergeCell ref="B34:C34"/>
    <mergeCell ref="C38:D38"/>
    <mergeCell ref="F38:J40"/>
    <mergeCell ref="C39:D39"/>
    <mergeCell ref="A44:I44"/>
    <mergeCell ref="A45:I45"/>
    <mergeCell ref="A46:I46"/>
    <mergeCell ref="A47:I47"/>
    <mergeCell ref="A35:J37"/>
    <mergeCell ref="C40:D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sample course</vt:lpstr>
      <vt:lpstr>Btech CSE</vt:lpstr>
      <vt:lpstr>Btech ME_CE_EC</vt:lpstr>
      <vt:lpstr>BBA (Hon.) 4years</vt:lpstr>
      <vt:lpstr>BBA (H)</vt:lpstr>
      <vt:lpstr> B.com(H)</vt:lpstr>
      <vt:lpstr> B.com (H) 4years</vt:lpstr>
      <vt:lpstr>Mtech ME</vt:lpstr>
      <vt:lpstr>Diploma</vt:lpstr>
      <vt:lpstr>BPharma</vt:lpstr>
      <vt:lpstr>BCA AI_DS</vt:lpstr>
      <vt:lpstr>BCA_BCA_IN_BScCs_BScIT_BSc_IN</vt:lpstr>
      <vt:lpstr>MCA</vt:lpstr>
      <vt:lpstr>MBA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Ashish Garg</dc:creator>
  <cp:lastModifiedBy>Aman Kumar Jagdev</cp:lastModifiedBy>
  <cp:lastPrinted>2023-03-11T12:40:55Z</cp:lastPrinted>
  <dcterms:created xsi:type="dcterms:W3CDTF">2022-01-04T08:24:24Z</dcterms:created>
  <dcterms:modified xsi:type="dcterms:W3CDTF">2025-04-24T13:16:31Z</dcterms:modified>
</cp:coreProperties>
</file>
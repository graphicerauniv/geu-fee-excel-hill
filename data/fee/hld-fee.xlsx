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GEHU-Fee\hld\v1\"/>
    </mc:Choice>
  </mc:AlternateContent>
  <xr:revisionPtr revIDLastSave="0" documentId="13_ncr:1_{81DD6CF8-D377-4114-AFE4-4A98A61B1744}" xr6:coauthVersionLast="47" xr6:coauthVersionMax="47" xr10:uidLastSave="{00000000-0000-0000-0000-000000000000}"/>
  <bookViews>
    <workbookView xWindow="-103" yWindow="-103" windowWidth="24892" windowHeight="14914" activeTab="4" xr2:uid="{D984F1A3-7D48-BC44-B8C5-1322E2E93C60}"/>
  </bookViews>
  <sheets>
    <sheet name="mba" sheetId="7" r:id="rId1"/>
    <sheet name="btech-cse" sheetId="2" r:id="rId2"/>
    <sheet name="bcom" sheetId="48" r:id="rId3"/>
    <sheet name="bcom-hons" sheetId="38" r:id="rId4"/>
    <sheet name="bca-ai-ds" sheetId="53" r:id="rId5"/>
    <sheet name="bsc-it" sheetId="57" r:id="rId6"/>
    <sheet name="bca" sheetId="55" r:id="rId7"/>
    <sheet name="mca" sheetId="40" r:id="rId8"/>
    <sheet name="bhm" sheetId="41" r:id="rId9"/>
    <sheet name="bba" sheetId="8" r:id="rId10"/>
    <sheet name="bjmc" sheetId="51" r:id="rId11"/>
    <sheet name="bsc-animation-gaming" sheetId="54" r:id="rId12"/>
    <sheet name="chm" sheetId="46" r:id="rId13"/>
    <sheet name="mtech-cse" sheetId="5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5" i="57" l="1"/>
  <c r="H44" i="57"/>
  <c r="G44" i="57"/>
  <c r="F44" i="57"/>
  <c r="E44" i="57"/>
  <c r="D44" i="57"/>
  <c r="C44" i="57"/>
  <c r="B44" i="57"/>
  <c r="I44" i="57" s="1"/>
  <c r="G31" i="57"/>
  <c r="F31" i="57"/>
  <c r="E31" i="57"/>
  <c r="D31" i="57"/>
  <c r="C31" i="57"/>
  <c r="C28" i="57"/>
  <c r="I27" i="57"/>
  <c r="I31" i="57" s="1"/>
  <c r="H27" i="57"/>
  <c r="H31" i="57" s="1"/>
  <c r="G27" i="57"/>
  <c r="F27" i="57"/>
  <c r="E27" i="57"/>
  <c r="D27" i="57"/>
  <c r="C27" i="57"/>
  <c r="C26" i="57"/>
  <c r="C30" i="57" s="1"/>
  <c r="C25" i="57"/>
  <c r="C22" i="57"/>
  <c r="C24" i="57" s="1"/>
  <c r="I17" i="57"/>
  <c r="E16" i="57"/>
  <c r="D16" i="57"/>
  <c r="C16" i="57"/>
  <c r="C15" i="57"/>
  <c r="C18" i="57" s="1"/>
  <c r="I12" i="57"/>
  <c r="C12" i="57"/>
  <c r="C17" i="57" s="1"/>
  <c r="D17" i="57" s="1"/>
  <c r="E17" i="57" s="1"/>
  <c r="F17" i="57" s="1"/>
  <c r="G17" i="57" s="1"/>
  <c r="H17" i="57" s="1"/>
  <c r="I11" i="57"/>
  <c r="I16" i="57" s="1"/>
  <c r="H11" i="57"/>
  <c r="H16" i="57" s="1"/>
  <c r="G11" i="57"/>
  <c r="G16" i="57" s="1"/>
  <c r="F11" i="57"/>
  <c r="F16" i="57" s="1"/>
  <c r="E11" i="57"/>
  <c r="D11" i="57"/>
  <c r="C11" i="57"/>
  <c r="C14" i="57" s="1"/>
  <c r="D10" i="57"/>
  <c r="D9" i="57"/>
  <c r="C9" i="57"/>
  <c r="C8" i="57"/>
  <c r="D7" i="57"/>
  <c r="E7" i="57" s="1"/>
  <c r="F7" i="57" s="1"/>
  <c r="G7" i="57" s="1"/>
  <c r="H7" i="57" s="1"/>
  <c r="D5" i="57"/>
  <c r="D8" i="57" s="1"/>
  <c r="I45" i="55"/>
  <c r="H44" i="55"/>
  <c r="G44" i="55"/>
  <c r="F44" i="55"/>
  <c r="E44" i="55"/>
  <c r="D44" i="55"/>
  <c r="C44" i="55"/>
  <c r="B44" i="55"/>
  <c r="I27" i="55"/>
  <c r="I31" i="55" s="1"/>
  <c r="H27" i="55"/>
  <c r="H31" i="55" s="1"/>
  <c r="G27" i="55"/>
  <c r="G31" i="55" s="1"/>
  <c r="F27" i="55"/>
  <c r="F31" i="55" s="1"/>
  <c r="E27" i="55"/>
  <c r="E31" i="55" s="1"/>
  <c r="D27" i="55"/>
  <c r="D31" i="55" s="1"/>
  <c r="C27" i="55"/>
  <c r="C31" i="55" s="1"/>
  <c r="C26" i="55"/>
  <c r="C30" i="55" s="1"/>
  <c r="C22" i="55"/>
  <c r="C24" i="55" s="1"/>
  <c r="I17" i="55"/>
  <c r="C15" i="55"/>
  <c r="I12" i="55"/>
  <c r="C12" i="55"/>
  <c r="C17" i="55" s="1"/>
  <c r="D17" i="55" s="1"/>
  <c r="E17" i="55" s="1"/>
  <c r="F17" i="55" s="1"/>
  <c r="G17" i="55" s="1"/>
  <c r="H17" i="55" s="1"/>
  <c r="I11" i="55"/>
  <c r="I16" i="55" s="1"/>
  <c r="H11" i="55"/>
  <c r="H16" i="55" s="1"/>
  <c r="G11" i="55"/>
  <c r="G16" i="55" s="1"/>
  <c r="F11" i="55"/>
  <c r="F16" i="55" s="1"/>
  <c r="E11" i="55"/>
  <c r="E16" i="55" s="1"/>
  <c r="D11" i="55"/>
  <c r="D16" i="55" s="1"/>
  <c r="C11" i="55"/>
  <c r="D10" i="55"/>
  <c r="C9" i="55"/>
  <c r="C8" i="55"/>
  <c r="D7" i="55"/>
  <c r="E7" i="55" s="1"/>
  <c r="F7" i="55" s="1"/>
  <c r="G7" i="55" s="1"/>
  <c r="H7" i="55" s="1"/>
  <c r="D5" i="55"/>
  <c r="D8" i="55" s="1"/>
  <c r="C10" i="46"/>
  <c r="C9" i="46" s="1"/>
  <c r="C33" i="57" l="1"/>
  <c r="D30" i="57"/>
  <c r="C32" i="57"/>
  <c r="C34" i="57" s="1"/>
  <c r="D26" i="57"/>
  <c r="C29" i="57"/>
  <c r="E5" i="57"/>
  <c r="E10" i="57"/>
  <c r="C19" i="57"/>
  <c r="D12" i="57"/>
  <c r="E12" i="57" s="1"/>
  <c r="F12" i="57" s="1"/>
  <c r="G12" i="57" s="1"/>
  <c r="H12" i="57" s="1"/>
  <c r="D15" i="57"/>
  <c r="D22" i="57"/>
  <c r="C13" i="57"/>
  <c r="C20" i="57" s="1"/>
  <c r="C14" i="55"/>
  <c r="C28" i="55"/>
  <c r="C25" i="55"/>
  <c r="D9" i="55"/>
  <c r="C16" i="55"/>
  <c r="C18" i="55" s="1"/>
  <c r="I44" i="55"/>
  <c r="C19" i="55"/>
  <c r="C33" i="55"/>
  <c r="D30" i="55"/>
  <c r="C32" i="55"/>
  <c r="D12" i="55"/>
  <c r="E12" i="55" s="1"/>
  <c r="F12" i="55" s="1"/>
  <c r="G12" i="55" s="1"/>
  <c r="H12" i="55" s="1"/>
  <c r="D15" i="55"/>
  <c r="D26" i="55"/>
  <c r="C29" i="55"/>
  <c r="C13" i="55"/>
  <c r="E10" i="55"/>
  <c r="E5" i="55"/>
  <c r="D22" i="55"/>
  <c r="D22" i="52"/>
  <c r="C12" i="54"/>
  <c r="C11" i="54" s="1"/>
  <c r="I15" i="54"/>
  <c r="I20" i="54" s="1"/>
  <c r="C15" i="54"/>
  <c r="C17" i="54" s="1"/>
  <c r="C16" i="54" s="1"/>
  <c r="D10" i="54"/>
  <c r="E10" i="54" s="1"/>
  <c r="C29" i="54"/>
  <c r="C32" i="54" s="1"/>
  <c r="C31" i="54" s="1"/>
  <c r="C25" i="54"/>
  <c r="C28" i="54" s="1"/>
  <c r="C27" i="54" s="1"/>
  <c r="C18" i="54"/>
  <c r="D13" i="54"/>
  <c r="D29" i="54" s="1"/>
  <c r="D8" i="54"/>
  <c r="C26" i="51"/>
  <c r="C26" i="8"/>
  <c r="C31" i="41"/>
  <c r="C21" i="40"/>
  <c r="C26" i="53"/>
  <c r="C31" i="38"/>
  <c r="C26" i="48"/>
  <c r="C31" i="2"/>
  <c r="C12" i="2"/>
  <c r="C17" i="2" s="1"/>
  <c r="C22" i="2" s="1"/>
  <c r="C21" i="7"/>
  <c r="C33" i="54" l="1"/>
  <c r="C36" i="54" s="1"/>
  <c r="C35" i="54" s="1"/>
  <c r="C20" i="54"/>
  <c r="C22" i="54" s="1"/>
  <c r="C21" i="54" s="1"/>
  <c r="C23" i="54" s="1"/>
  <c r="D12" i="54"/>
  <c r="D11" i="54" s="1"/>
  <c r="D13" i="57"/>
  <c r="E8" i="57"/>
  <c r="F5" i="57"/>
  <c r="E9" i="57"/>
  <c r="D33" i="57"/>
  <c r="E30" i="57"/>
  <c r="D32" i="57"/>
  <c r="D24" i="57"/>
  <c r="D25" i="57"/>
  <c r="E22" i="57"/>
  <c r="E15" i="57"/>
  <c r="D19" i="57"/>
  <c r="D18" i="57"/>
  <c r="E13" i="57"/>
  <c r="F10" i="57"/>
  <c r="E14" i="57"/>
  <c r="D29" i="57"/>
  <c r="E26" i="57"/>
  <c r="D28" i="57"/>
  <c r="D14" i="57"/>
  <c r="C34" i="55"/>
  <c r="D13" i="55"/>
  <c r="C20" i="55"/>
  <c r="E14" i="55"/>
  <c r="E13" i="55"/>
  <c r="F10" i="55"/>
  <c r="D29" i="55"/>
  <c r="E26" i="55"/>
  <c r="D28" i="55"/>
  <c r="D24" i="55"/>
  <c r="E22" i="55"/>
  <c r="D25" i="55"/>
  <c r="E8" i="55"/>
  <c r="F5" i="55"/>
  <c r="E9" i="55"/>
  <c r="D19" i="55"/>
  <c r="D18" i="55"/>
  <c r="E15" i="55"/>
  <c r="D33" i="55"/>
  <c r="E30" i="55"/>
  <c r="D32" i="55"/>
  <c r="D14" i="55"/>
  <c r="D32" i="54"/>
  <c r="D31" i="54" s="1"/>
  <c r="D33" i="54"/>
  <c r="D36" i="54" s="1"/>
  <c r="D35" i="54" s="1"/>
  <c r="E13" i="54"/>
  <c r="F10" i="54"/>
  <c r="E15" i="54"/>
  <c r="E20" i="54" s="1"/>
  <c r="C37" i="54"/>
  <c r="E8" i="54"/>
  <c r="D25" i="54"/>
  <c r="D28" i="54" s="1"/>
  <c r="D27" i="54" s="1"/>
  <c r="D37" i="54" s="1"/>
  <c r="D18" i="54"/>
  <c r="D15" i="54"/>
  <c r="D20" i="54" s="1"/>
  <c r="I17" i="51"/>
  <c r="I12" i="51"/>
  <c r="E29" i="57" l="1"/>
  <c r="F26" i="57"/>
  <c r="E28" i="57"/>
  <c r="F13" i="57"/>
  <c r="G10" i="57"/>
  <c r="F14" i="57"/>
  <c r="E18" i="57"/>
  <c r="F15" i="57"/>
  <c r="E19" i="57"/>
  <c r="E24" i="57"/>
  <c r="F22" i="57"/>
  <c r="E25" i="57"/>
  <c r="D34" i="57"/>
  <c r="E33" i="57"/>
  <c r="F30" i="57"/>
  <c r="E32" i="57"/>
  <c r="F9" i="57"/>
  <c r="G5" i="57"/>
  <c r="F8" i="57"/>
  <c r="E20" i="57"/>
  <c r="D20" i="57"/>
  <c r="D20" i="55"/>
  <c r="D34" i="55"/>
  <c r="E28" i="55"/>
  <c r="E29" i="55"/>
  <c r="F26" i="55"/>
  <c r="F13" i="55"/>
  <c r="G10" i="55"/>
  <c r="F14" i="55"/>
  <c r="E33" i="55"/>
  <c r="F30" i="55"/>
  <c r="E32" i="55"/>
  <c r="E19" i="55"/>
  <c r="E18" i="55"/>
  <c r="E20" i="55" s="1"/>
  <c r="F15" i="55"/>
  <c r="F8" i="55"/>
  <c r="G5" i="55"/>
  <c r="F9" i="55"/>
  <c r="E24" i="55"/>
  <c r="F22" i="55"/>
  <c r="E25" i="55"/>
  <c r="D22" i="54"/>
  <c r="D21" i="54" s="1"/>
  <c r="F13" i="54"/>
  <c r="E29" i="54"/>
  <c r="E18" i="54"/>
  <c r="E22" i="54"/>
  <c r="E21" i="54" s="1"/>
  <c r="G10" i="54"/>
  <c r="F15" i="54"/>
  <c r="D17" i="54"/>
  <c r="D16" i="54" s="1"/>
  <c r="E25" i="54"/>
  <c r="E28" i="54" s="1"/>
  <c r="E27" i="54" s="1"/>
  <c r="E12" i="54"/>
  <c r="E11" i="54" s="1"/>
  <c r="F8" i="54"/>
  <c r="E17" i="54"/>
  <c r="E16" i="54" s="1"/>
  <c r="G13" i="52"/>
  <c r="I17" i="41"/>
  <c r="I22" i="41" s="1"/>
  <c r="I12" i="41"/>
  <c r="F12" i="40"/>
  <c r="I17" i="53"/>
  <c r="I12" i="53"/>
  <c r="I45" i="53"/>
  <c r="H44" i="53"/>
  <c r="G44" i="53"/>
  <c r="F44" i="53"/>
  <c r="E44" i="53"/>
  <c r="D44" i="53"/>
  <c r="C44" i="53"/>
  <c r="B44" i="53"/>
  <c r="I27" i="53"/>
  <c r="I31" i="53" s="1"/>
  <c r="H27" i="53"/>
  <c r="H31" i="53" s="1"/>
  <c r="G27" i="53"/>
  <c r="G31" i="53" s="1"/>
  <c r="F27" i="53"/>
  <c r="F31" i="53" s="1"/>
  <c r="E27" i="53"/>
  <c r="E31" i="53" s="1"/>
  <c r="D27" i="53"/>
  <c r="D31" i="53" s="1"/>
  <c r="C27" i="53"/>
  <c r="C31" i="53" s="1"/>
  <c r="C22" i="53"/>
  <c r="C24" i="53" s="1"/>
  <c r="C12" i="53"/>
  <c r="C17" i="53" s="1"/>
  <c r="D17" i="53" s="1"/>
  <c r="E17" i="53" s="1"/>
  <c r="F17" i="53" s="1"/>
  <c r="G17" i="53" s="1"/>
  <c r="H17" i="53" s="1"/>
  <c r="I11" i="53"/>
  <c r="I16" i="53" s="1"/>
  <c r="H11" i="53"/>
  <c r="H16" i="53" s="1"/>
  <c r="G11" i="53"/>
  <c r="G16" i="53" s="1"/>
  <c r="F11" i="53"/>
  <c r="F16" i="53" s="1"/>
  <c r="E11" i="53"/>
  <c r="E16" i="53" s="1"/>
  <c r="D11" i="53"/>
  <c r="D16" i="53" s="1"/>
  <c r="C11" i="53"/>
  <c r="C16" i="53" s="1"/>
  <c r="D10" i="53"/>
  <c r="C9" i="53"/>
  <c r="C8" i="53"/>
  <c r="D7" i="53"/>
  <c r="E7" i="53" s="1"/>
  <c r="F7" i="53" s="1"/>
  <c r="G7" i="53" s="1"/>
  <c r="H7" i="53" s="1"/>
  <c r="D5" i="53"/>
  <c r="E5" i="53" s="1"/>
  <c r="H37" i="52"/>
  <c r="G36" i="52"/>
  <c r="F36" i="52"/>
  <c r="E36" i="52"/>
  <c r="D36" i="52"/>
  <c r="C36" i="52"/>
  <c r="B36" i="52"/>
  <c r="H23" i="52"/>
  <c r="G23" i="52"/>
  <c r="F23" i="52"/>
  <c r="E23" i="52"/>
  <c r="D23" i="52"/>
  <c r="D18" i="52"/>
  <c r="D13" i="52"/>
  <c r="E13" i="52" s="1"/>
  <c r="F13" i="52" s="1"/>
  <c r="H12" i="52"/>
  <c r="G12" i="52"/>
  <c r="F12" i="52"/>
  <c r="E12" i="52"/>
  <c r="D12" i="52"/>
  <c r="D10" i="52"/>
  <c r="D9" i="52"/>
  <c r="E8" i="52"/>
  <c r="F8" i="52" s="1"/>
  <c r="H8" i="52" s="1"/>
  <c r="E6" i="52"/>
  <c r="D23" i="54" l="1"/>
  <c r="H5" i="57"/>
  <c r="G8" i="57"/>
  <c r="G9" i="57"/>
  <c r="F32" i="57"/>
  <c r="G30" i="57"/>
  <c r="F33" i="57"/>
  <c r="F24" i="57"/>
  <c r="G22" i="57"/>
  <c r="F25" i="57"/>
  <c r="E34" i="57"/>
  <c r="F19" i="57"/>
  <c r="F18" i="57"/>
  <c r="F20" i="57" s="1"/>
  <c r="G15" i="57"/>
  <c r="H10" i="57"/>
  <c r="G14" i="57"/>
  <c r="G13" i="57"/>
  <c r="F28" i="57"/>
  <c r="F29" i="57"/>
  <c r="G26" i="57"/>
  <c r="E34" i="55"/>
  <c r="F19" i="55"/>
  <c r="F18" i="55"/>
  <c r="F20" i="55" s="1"/>
  <c r="G15" i="55"/>
  <c r="F32" i="55"/>
  <c r="G30" i="55"/>
  <c r="F33" i="55"/>
  <c r="H5" i="55"/>
  <c r="G9" i="55"/>
  <c r="G8" i="55"/>
  <c r="F24" i="55"/>
  <c r="G22" i="55"/>
  <c r="F25" i="55"/>
  <c r="G13" i="55"/>
  <c r="H10" i="55"/>
  <c r="G14" i="55"/>
  <c r="F29" i="55"/>
  <c r="G26" i="55"/>
  <c r="F28" i="55"/>
  <c r="I44" i="53"/>
  <c r="H13" i="52"/>
  <c r="E33" i="54"/>
  <c r="E36" i="54" s="1"/>
  <c r="E35" i="54" s="1"/>
  <c r="E32" i="54"/>
  <c r="E31" i="54" s="1"/>
  <c r="G13" i="54"/>
  <c r="F29" i="54"/>
  <c r="F18" i="54"/>
  <c r="F20" i="54"/>
  <c r="F22" i="54" s="1"/>
  <c r="F21" i="54" s="1"/>
  <c r="F17" i="54"/>
  <c r="F16" i="54" s="1"/>
  <c r="H10" i="54"/>
  <c r="H15" i="54" s="1"/>
  <c r="G15" i="54"/>
  <c r="F12" i="54"/>
  <c r="F11" i="54" s="1"/>
  <c r="G8" i="54"/>
  <c r="F25" i="54"/>
  <c r="F28" i="54" s="1"/>
  <c r="F27" i="54" s="1"/>
  <c r="E23" i="54"/>
  <c r="D22" i="53"/>
  <c r="E22" i="53" s="1"/>
  <c r="E24" i="53" s="1"/>
  <c r="E10" i="53"/>
  <c r="E8" i="53"/>
  <c r="F5" i="53"/>
  <c r="E9" i="53"/>
  <c r="D9" i="53"/>
  <c r="D8" i="53"/>
  <c r="C15" i="53"/>
  <c r="C25" i="53"/>
  <c r="C14" i="53"/>
  <c r="C13" i="53"/>
  <c r="D12" i="53"/>
  <c r="E12" i="53" s="1"/>
  <c r="F12" i="53" s="1"/>
  <c r="G12" i="53" s="1"/>
  <c r="H12" i="53" s="1"/>
  <c r="E10" i="52"/>
  <c r="H36" i="52"/>
  <c r="D15" i="52"/>
  <c r="D20" i="52"/>
  <c r="F6" i="52"/>
  <c r="F10" i="52" s="1"/>
  <c r="D14" i="52"/>
  <c r="D16" i="52" s="1"/>
  <c r="E18" i="52"/>
  <c r="E20" i="52" s="1"/>
  <c r="D21" i="52"/>
  <c r="E9" i="52"/>
  <c r="E22" i="52"/>
  <c r="D24" i="52"/>
  <c r="D25" i="52"/>
  <c r="G6" i="52"/>
  <c r="E11" i="52"/>
  <c r="E37" i="54" l="1"/>
  <c r="G29" i="57"/>
  <c r="H26" i="57"/>
  <c r="G28" i="57"/>
  <c r="H13" i="57"/>
  <c r="I10" i="57"/>
  <c r="H14" i="57"/>
  <c r="G19" i="57"/>
  <c r="G18" i="57"/>
  <c r="H15" i="57"/>
  <c r="G24" i="57"/>
  <c r="G25" i="57"/>
  <c r="H22" i="57"/>
  <c r="F34" i="57"/>
  <c r="H30" i="57"/>
  <c r="G32" i="57"/>
  <c r="G33" i="57"/>
  <c r="G20" i="57"/>
  <c r="I5" i="57"/>
  <c r="H8" i="57"/>
  <c r="H9" i="57"/>
  <c r="F34" i="55"/>
  <c r="G29" i="55"/>
  <c r="H26" i="55"/>
  <c r="G28" i="55"/>
  <c r="H13" i="55"/>
  <c r="I10" i="55"/>
  <c r="H14" i="55"/>
  <c r="G19" i="55"/>
  <c r="G18" i="55"/>
  <c r="G20" i="55" s="1"/>
  <c r="H15" i="55"/>
  <c r="G24" i="55"/>
  <c r="H22" i="55"/>
  <c r="G25" i="55"/>
  <c r="H9" i="55"/>
  <c r="I5" i="55"/>
  <c r="H8" i="55"/>
  <c r="G32" i="55"/>
  <c r="G33" i="55"/>
  <c r="H30" i="55"/>
  <c r="D13" i="53"/>
  <c r="D14" i="53"/>
  <c r="F22" i="53"/>
  <c r="G22" i="53" s="1"/>
  <c r="E25" i="53"/>
  <c r="D24" i="53"/>
  <c r="D25" i="53"/>
  <c r="F18" i="52"/>
  <c r="F20" i="52" s="1"/>
  <c r="D26" i="52"/>
  <c r="F32" i="54"/>
  <c r="F31" i="54" s="1"/>
  <c r="F33" i="54"/>
  <c r="F36" i="54" s="1"/>
  <c r="F35" i="54" s="1"/>
  <c r="H13" i="54"/>
  <c r="G18" i="54"/>
  <c r="G29" i="54"/>
  <c r="F23" i="54"/>
  <c r="H8" i="54"/>
  <c r="G12" i="54"/>
  <c r="G11" i="54" s="1"/>
  <c r="G25" i="54"/>
  <c r="G28" i="54" s="1"/>
  <c r="G27" i="54" s="1"/>
  <c r="G17" i="54"/>
  <c r="G16" i="54" s="1"/>
  <c r="G20" i="54"/>
  <c r="H17" i="54"/>
  <c r="H16" i="54" s="1"/>
  <c r="H20" i="54"/>
  <c r="F9" i="52"/>
  <c r="E13" i="53"/>
  <c r="E14" i="53"/>
  <c r="F10" i="53"/>
  <c r="C18" i="53"/>
  <c r="C20" i="53" s="1"/>
  <c r="C19" i="53"/>
  <c r="D15" i="53"/>
  <c r="C29" i="53"/>
  <c r="C30" i="53"/>
  <c r="C28" i="53"/>
  <c r="D26" i="53"/>
  <c r="G5" i="53"/>
  <c r="F8" i="53"/>
  <c r="F9" i="53"/>
  <c r="E21" i="52"/>
  <c r="E15" i="52"/>
  <c r="F11" i="52"/>
  <c r="E14" i="52"/>
  <c r="E16" i="52" s="1"/>
  <c r="G10" i="52"/>
  <c r="G9" i="52"/>
  <c r="H6" i="52"/>
  <c r="E25" i="52"/>
  <c r="F22" i="52"/>
  <c r="E24" i="52"/>
  <c r="E26" i="52" s="1"/>
  <c r="F21" i="52" l="1"/>
  <c r="G18" i="52"/>
  <c r="G20" i="52" s="1"/>
  <c r="F37" i="54"/>
  <c r="I9" i="57"/>
  <c r="I8" i="57"/>
  <c r="I30" i="57"/>
  <c r="H32" i="57"/>
  <c r="H33" i="57"/>
  <c r="H24" i="57"/>
  <c r="I22" i="57"/>
  <c r="H25" i="57"/>
  <c r="G34" i="57"/>
  <c r="H19" i="57"/>
  <c r="H18" i="57"/>
  <c r="H20" i="57" s="1"/>
  <c r="I15" i="57"/>
  <c r="I13" i="57"/>
  <c r="I14" i="57"/>
  <c r="H28" i="57"/>
  <c r="H29" i="57"/>
  <c r="I26" i="57"/>
  <c r="G34" i="55"/>
  <c r="H32" i="55"/>
  <c r="H33" i="55"/>
  <c r="I30" i="55"/>
  <c r="I9" i="55"/>
  <c r="I8" i="55"/>
  <c r="H24" i="55"/>
  <c r="I22" i="55"/>
  <c r="H25" i="55"/>
  <c r="I13" i="55"/>
  <c r="I14" i="55"/>
  <c r="H29" i="55"/>
  <c r="I26" i="55"/>
  <c r="H28" i="55"/>
  <c r="H19" i="55"/>
  <c r="H18" i="55"/>
  <c r="H20" i="55" s="1"/>
  <c r="I15" i="55"/>
  <c r="F25" i="53"/>
  <c r="F24" i="53"/>
  <c r="G22" i="54"/>
  <c r="G21" i="54" s="1"/>
  <c r="G23" i="54" s="1"/>
  <c r="G32" i="54"/>
  <c r="G31" i="54" s="1"/>
  <c r="G33" i="54"/>
  <c r="G36" i="54" s="1"/>
  <c r="G35" i="54" s="1"/>
  <c r="I13" i="54"/>
  <c r="H18" i="54"/>
  <c r="H22" i="54" s="1"/>
  <c r="H21" i="54" s="1"/>
  <c r="H29" i="54"/>
  <c r="I8" i="54"/>
  <c r="H12" i="54"/>
  <c r="H11" i="54" s="1"/>
  <c r="H25" i="54"/>
  <c r="H28" i="54" s="1"/>
  <c r="H27" i="54" s="1"/>
  <c r="G25" i="53"/>
  <c r="G24" i="53"/>
  <c r="H22" i="53"/>
  <c r="F14" i="53"/>
  <c r="G10" i="53"/>
  <c r="F13" i="53"/>
  <c r="D28" i="53"/>
  <c r="D29" i="53"/>
  <c r="E26" i="53"/>
  <c r="D18" i="53"/>
  <c r="D20" i="53" s="1"/>
  <c r="E15" i="53"/>
  <c r="D19" i="53"/>
  <c r="G8" i="53"/>
  <c r="G9" i="53"/>
  <c r="H5" i="53"/>
  <c r="D30" i="53"/>
  <c r="C32" i="53"/>
  <c r="C34" i="53" s="1"/>
  <c r="C33" i="53"/>
  <c r="H9" i="52"/>
  <c r="H10" i="52"/>
  <c r="F15" i="52"/>
  <c r="G11" i="52"/>
  <c r="F14" i="52"/>
  <c r="F16" i="52" s="1"/>
  <c r="F25" i="52"/>
  <c r="F24" i="52"/>
  <c r="F26" i="52" s="1"/>
  <c r="G22" i="52"/>
  <c r="H18" i="52" l="1"/>
  <c r="H20" i="52" s="1"/>
  <c r="G21" i="52"/>
  <c r="G37" i="54"/>
  <c r="I29" i="57"/>
  <c r="I28" i="57"/>
  <c r="I19" i="57"/>
  <c r="I18" i="57"/>
  <c r="I25" i="57"/>
  <c r="I24" i="57"/>
  <c r="H34" i="57"/>
  <c r="I32" i="57"/>
  <c r="I33" i="57"/>
  <c r="I20" i="57"/>
  <c r="I19" i="55"/>
  <c r="I18" i="55"/>
  <c r="I20" i="55" s="1"/>
  <c r="I29" i="55"/>
  <c r="I28" i="55"/>
  <c r="I25" i="55"/>
  <c r="I24" i="55"/>
  <c r="I32" i="55"/>
  <c r="I33" i="55"/>
  <c r="H34" i="55"/>
  <c r="I29" i="54"/>
  <c r="I17" i="54"/>
  <c r="I16" i="54" s="1"/>
  <c r="I18" i="54"/>
  <c r="I22" i="54" s="1"/>
  <c r="I21" i="54" s="1"/>
  <c r="H33" i="54"/>
  <c r="H36" i="54" s="1"/>
  <c r="H35" i="54" s="1"/>
  <c r="H32" i="54"/>
  <c r="H31" i="54" s="1"/>
  <c r="H37" i="54" s="1"/>
  <c r="H23" i="54"/>
  <c r="I25" i="54"/>
  <c r="I28" i="54" s="1"/>
  <c r="I27" i="54" s="1"/>
  <c r="I12" i="54"/>
  <c r="I11" i="54" s="1"/>
  <c r="H8" i="53"/>
  <c r="H9" i="53"/>
  <c r="I5" i="53"/>
  <c r="G13" i="53"/>
  <c r="H10" i="53"/>
  <c r="G14" i="53"/>
  <c r="E19" i="53"/>
  <c r="F15" i="53"/>
  <c r="E18" i="53"/>
  <c r="E20" i="53" s="1"/>
  <c r="D32" i="53"/>
  <c r="D34" i="53" s="1"/>
  <c r="E30" i="53"/>
  <c r="D33" i="53"/>
  <c r="H24" i="53"/>
  <c r="H25" i="53"/>
  <c r="I22" i="53"/>
  <c r="E29" i="53"/>
  <c r="F26" i="53"/>
  <c r="E28" i="53"/>
  <c r="G24" i="52"/>
  <c r="G26" i="52" s="1"/>
  <c r="H22" i="52"/>
  <c r="G25" i="52"/>
  <c r="H11" i="52"/>
  <c r="G14" i="52"/>
  <c r="G16" i="52" s="1"/>
  <c r="G15" i="52"/>
  <c r="H21" i="52" l="1"/>
  <c r="I34" i="57"/>
  <c r="I34" i="55"/>
  <c r="I23" i="54"/>
  <c r="I32" i="54"/>
  <c r="I31" i="54" s="1"/>
  <c r="I33" i="54"/>
  <c r="I36" i="54" s="1"/>
  <c r="I35" i="54" s="1"/>
  <c r="H14" i="53"/>
  <c r="I10" i="53"/>
  <c r="H13" i="53"/>
  <c r="F30" i="53"/>
  <c r="E32" i="53"/>
  <c r="E34" i="53" s="1"/>
  <c r="E33" i="53"/>
  <c r="I9" i="53"/>
  <c r="I8" i="53"/>
  <c r="G26" i="53"/>
  <c r="F28" i="53"/>
  <c r="F29" i="53"/>
  <c r="G15" i="53"/>
  <c r="F18" i="53"/>
  <c r="F20" i="53" s="1"/>
  <c r="F19" i="53"/>
  <c r="I25" i="53"/>
  <c r="I24" i="53"/>
  <c r="H14" i="52"/>
  <c r="H16" i="52" s="1"/>
  <c r="H15" i="52"/>
  <c r="H24" i="52"/>
  <c r="H26" i="52" s="1"/>
  <c r="H25" i="52"/>
  <c r="I37" i="54" l="1"/>
  <c r="F32" i="53"/>
  <c r="F33" i="53"/>
  <c r="G30" i="53"/>
  <c r="H15" i="53"/>
  <c r="G18" i="53"/>
  <c r="G20" i="53" s="1"/>
  <c r="G19" i="53"/>
  <c r="F34" i="53"/>
  <c r="I13" i="53"/>
  <c r="I14" i="53"/>
  <c r="H26" i="53"/>
  <c r="G28" i="53"/>
  <c r="G29" i="53"/>
  <c r="I15" i="53" l="1"/>
  <c r="H18" i="53"/>
  <c r="H20" i="53" s="1"/>
  <c r="H19" i="53"/>
  <c r="H28" i="53"/>
  <c r="I26" i="53"/>
  <c r="H29" i="53"/>
  <c r="G33" i="53"/>
  <c r="H30" i="53"/>
  <c r="G32" i="53"/>
  <c r="G34" i="53" s="1"/>
  <c r="I28" i="53" l="1"/>
  <c r="I29" i="53"/>
  <c r="H32" i="53"/>
  <c r="H34" i="53" s="1"/>
  <c r="H33" i="53"/>
  <c r="I30" i="53"/>
  <c r="I18" i="53"/>
  <c r="I20" i="53" s="1"/>
  <c r="I19" i="53"/>
  <c r="I33" i="53" l="1"/>
  <c r="I32" i="53"/>
  <c r="I34" i="53" s="1"/>
  <c r="H28" i="46" l="1"/>
  <c r="D7" i="51"/>
  <c r="E7" i="51" s="1"/>
  <c r="F7" i="51" s="1"/>
  <c r="G7" i="51" s="1"/>
  <c r="H7" i="51" s="1"/>
  <c r="I45" i="51"/>
  <c r="H44" i="51"/>
  <c r="G44" i="51"/>
  <c r="F44" i="51"/>
  <c r="E44" i="51"/>
  <c r="C44" i="51"/>
  <c r="B44" i="51"/>
  <c r="I27" i="51"/>
  <c r="I31" i="51" s="1"/>
  <c r="H27" i="51"/>
  <c r="H31" i="51" s="1"/>
  <c r="G27" i="51"/>
  <c r="G31" i="51" s="1"/>
  <c r="F27" i="51"/>
  <c r="F31" i="51" s="1"/>
  <c r="E27" i="51"/>
  <c r="E31" i="51" s="1"/>
  <c r="D27" i="51"/>
  <c r="D31" i="51" s="1"/>
  <c r="C27" i="51"/>
  <c r="C31" i="51" s="1"/>
  <c r="C22" i="51"/>
  <c r="D22" i="51" s="1"/>
  <c r="C12" i="51"/>
  <c r="D12" i="51" s="1"/>
  <c r="E12" i="51" s="1"/>
  <c r="F12" i="51" s="1"/>
  <c r="G12" i="51" s="1"/>
  <c r="H12" i="51" s="1"/>
  <c r="I11" i="51"/>
  <c r="I16" i="51" s="1"/>
  <c r="H11" i="51"/>
  <c r="H16" i="51" s="1"/>
  <c r="G11" i="51"/>
  <c r="G16" i="51" s="1"/>
  <c r="F11" i="51"/>
  <c r="F16" i="51" s="1"/>
  <c r="E11" i="51"/>
  <c r="E16" i="51" s="1"/>
  <c r="D11" i="51"/>
  <c r="D16" i="51" s="1"/>
  <c r="C11" i="51"/>
  <c r="C16" i="51" s="1"/>
  <c r="C9" i="51"/>
  <c r="C8" i="51"/>
  <c r="D5" i="51"/>
  <c r="I44" i="51" l="1"/>
  <c r="C28" i="51"/>
  <c r="C13" i="51"/>
  <c r="D8" i="51"/>
  <c r="D9" i="51"/>
  <c r="C17" i="51"/>
  <c r="D17" i="51" s="1"/>
  <c r="E17" i="51" s="1"/>
  <c r="F17" i="51" s="1"/>
  <c r="G17" i="51" s="1"/>
  <c r="H17" i="51" s="1"/>
  <c r="D10" i="51"/>
  <c r="D14" i="51" s="1"/>
  <c r="C24" i="51"/>
  <c r="E5" i="51"/>
  <c r="F5" i="51" s="1"/>
  <c r="G5" i="51" s="1"/>
  <c r="C14" i="51"/>
  <c r="C15" i="51"/>
  <c r="C25" i="51"/>
  <c r="E22" i="51"/>
  <c r="D25" i="51"/>
  <c r="D24" i="51"/>
  <c r="C30" i="51"/>
  <c r="C29" i="51"/>
  <c r="D26" i="51" l="1"/>
  <c r="D29" i="51" s="1"/>
  <c r="E8" i="51"/>
  <c r="C19" i="51"/>
  <c r="C18" i="51"/>
  <c r="C20" i="51" s="1"/>
  <c r="D15" i="51"/>
  <c r="D19" i="51" s="1"/>
  <c r="E9" i="51"/>
  <c r="D13" i="51"/>
  <c r="E10" i="51"/>
  <c r="F22" i="51"/>
  <c r="E24" i="51"/>
  <c r="E25" i="51"/>
  <c r="F9" i="51"/>
  <c r="F8" i="51"/>
  <c r="D30" i="51"/>
  <c r="C32" i="51"/>
  <c r="C34" i="51" s="1"/>
  <c r="C33" i="51"/>
  <c r="H5" i="51"/>
  <c r="G8" i="51"/>
  <c r="G9" i="51"/>
  <c r="E26" i="51" l="1"/>
  <c r="E29" i="51" s="1"/>
  <c r="D28" i="51"/>
  <c r="E15" i="51"/>
  <c r="E19" i="51" s="1"/>
  <c r="D18" i="51"/>
  <c r="D20" i="51" s="1"/>
  <c r="E13" i="51"/>
  <c r="E14" i="51"/>
  <c r="F10" i="51"/>
  <c r="H8" i="51"/>
  <c r="I5" i="51"/>
  <c r="H9" i="51"/>
  <c r="E30" i="51"/>
  <c r="D33" i="51"/>
  <c r="D32" i="51"/>
  <c r="G22" i="51"/>
  <c r="F24" i="51"/>
  <c r="F25" i="51"/>
  <c r="D34" i="51" l="1"/>
  <c r="F26" i="51"/>
  <c r="E28" i="51"/>
  <c r="F15" i="51"/>
  <c r="E18" i="51"/>
  <c r="E20" i="51" s="1"/>
  <c r="G10" i="51"/>
  <c r="F13" i="51"/>
  <c r="F14" i="51"/>
  <c r="F30" i="51"/>
  <c r="E32" i="51"/>
  <c r="E34" i="51" s="1"/>
  <c r="E33" i="51"/>
  <c r="F29" i="51"/>
  <c r="G26" i="51"/>
  <c r="F28" i="51"/>
  <c r="G24" i="51"/>
  <c r="G25" i="51"/>
  <c r="H22" i="51"/>
  <c r="G15" i="51"/>
  <c r="F18" i="51"/>
  <c r="F19" i="51"/>
  <c r="I8" i="51"/>
  <c r="I9" i="51"/>
  <c r="F20" i="51" l="1"/>
  <c r="H10" i="51"/>
  <c r="G13" i="51"/>
  <c r="G14" i="51"/>
  <c r="F32" i="51"/>
  <c r="F34" i="51" s="1"/>
  <c r="F33" i="51"/>
  <c r="G30" i="51"/>
  <c r="H15" i="51"/>
  <c r="G19" i="51"/>
  <c r="G18" i="51"/>
  <c r="H24" i="51"/>
  <c r="H25" i="51"/>
  <c r="I22" i="51"/>
  <c r="H26" i="51"/>
  <c r="G28" i="51"/>
  <c r="G29" i="51"/>
  <c r="G20" i="51" l="1"/>
  <c r="H14" i="51"/>
  <c r="H13" i="51"/>
  <c r="I10" i="51"/>
  <c r="I15" i="51"/>
  <c r="H19" i="51"/>
  <c r="H18" i="51"/>
  <c r="H20" i="51" s="1"/>
  <c r="I26" i="51"/>
  <c r="H28" i="51"/>
  <c r="H29" i="51"/>
  <c r="I25" i="51"/>
  <c r="I24" i="51"/>
  <c r="G32" i="51"/>
  <c r="G34" i="51" s="1"/>
  <c r="G33" i="51"/>
  <c r="H30" i="51"/>
  <c r="I13" i="51" l="1"/>
  <c r="I14" i="51"/>
  <c r="H32" i="51"/>
  <c r="H34" i="51" s="1"/>
  <c r="H33" i="51"/>
  <c r="I30" i="51"/>
  <c r="I28" i="51"/>
  <c r="I29" i="51"/>
  <c r="I18" i="51"/>
  <c r="I19" i="51"/>
  <c r="I20" i="51" l="1"/>
  <c r="I33" i="51"/>
  <c r="I32" i="51"/>
  <c r="I34" i="51" s="1"/>
  <c r="I45" i="48" l="1"/>
  <c r="H44" i="48"/>
  <c r="G44" i="48"/>
  <c r="F44" i="48"/>
  <c r="E44" i="48"/>
  <c r="D44" i="48"/>
  <c r="C44" i="48"/>
  <c r="B44" i="48"/>
  <c r="I27" i="48"/>
  <c r="I31" i="48" s="1"/>
  <c r="H27" i="48"/>
  <c r="H31" i="48" s="1"/>
  <c r="G27" i="48"/>
  <c r="G31" i="48" s="1"/>
  <c r="F27" i="48"/>
  <c r="F31" i="48" s="1"/>
  <c r="E27" i="48"/>
  <c r="E31" i="48" s="1"/>
  <c r="D27" i="48"/>
  <c r="D31" i="48" s="1"/>
  <c r="C27" i="48"/>
  <c r="C31" i="48" s="1"/>
  <c r="C22" i="48"/>
  <c r="D22" i="48" s="1"/>
  <c r="C12" i="48"/>
  <c r="C17" i="48" s="1"/>
  <c r="I11" i="48"/>
  <c r="I16" i="48" s="1"/>
  <c r="H11" i="48"/>
  <c r="H16" i="48" s="1"/>
  <c r="G11" i="48"/>
  <c r="G16" i="48" s="1"/>
  <c r="F11" i="48"/>
  <c r="F16" i="48" s="1"/>
  <c r="E11" i="48"/>
  <c r="E16" i="48" s="1"/>
  <c r="D11" i="48"/>
  <c r="D16" i="48" s="1"/>
  <c r="C11" i="48"/>
  <c r="C16" i="48" s="1"/>
  <c r="D10" i="48"/>
  <c r="C9" i="48"/>
  <c r="C8" i="48"/>
  <c r="D7" i="48"/>
  <c r="E7" i="48" s="1"/>
  <c r="F7" i="48" s="1"/>
  <c r="D5" i="48"/>
  <c r="E5" i="48" s="1"/>
  <c r="C12" i="41"/>
  <c r="D12" i="41" s="1"/>
  <c r="E12" i="41" s="1"/>
  <c r="C9" i="41"/>
  <c r="C8" i="41"/>
  <c r="D7" i="41"/>
  <c r="E7" i="41" s="1"/>
  <c r="I54" i="41"/>
  <c r="H53" i="41"/>
  <c r="G53" i="41"/>
  <c r="F53" i="41"/>
  <c r="E53" i="41"/>
  <c r="C53" i="41"/>
  <c r="B53" i="41"/>
  <c r="I32" i="41"/>
  <c r="I36" i="41" s="1"/>
  <c r="I40" i="41" s="1"/>
  <c r="H32" i="41"/>
  <c r="H36" i="41" s="1"/>
  <c r="H40" i="41" s="1"/>
  <c r="G32" i="41"/>
  <c r="G36" i="41" s="1"/>
  <c r="G40" i="41" s="1"/>
  <c r="F32" i="41"/>
  <c r="F36" i="41" s="1"/>
  <c r="F40" i="41" s="1"/>
  <c r="E32" i="41"/>
  <c r="E36" i="41" s="1"/>
  <c r="E40" i="41" s="1"/>
  <c r="D32" i="41"/>
  <c r="D36" i="41" s="1"/>
  <c r="D40" i="41" s="1"/>
  <c r="C32" i="41"/>
  <c r="C36" i="41" s="1"/>
  <c r="C40" i="41" s="1"/>
  <c r="C27" i="41"/>
  <c r="C29" i="41" s="1"/>
  <c r="I11" i="41"/>
  <c r="I16" i="41" s="1"/>
  <c r="I21" i="41" s="1"/>
  <c r="H11" i="41"/>
  <c r="H16" i="41" s="1"/>
  <c r="H21" i="41" s="1"/>
  <c r="G11" i="41"/>
  <c r="G16" i="41" s="1"/>
  <c r="G21" i="41" s="1"/>
  <c r="F11" i="41"/>
  <c r="F16" i="41" s="1"/>
  <c r="F21" i="41" s="1"/>
  <c r="E11" i="41"/>
  <c r="E16" i="41" s="1"/>
  <c r="E21" i="41" s="1"/>
  <c r="D11" i="41"/>
  <c r="D16" i="41" s="1"/>
  <c r="D21" i="41" s="1"/>
  <c r="C11" i="41"/>
  <c r="C16" i="41" s="1"/>
  <c r="C21" i="41" s="1"/>
  <c r="D10" i="41"/>
  <c r="D5" i="41"/>
  <c r="D8" i="46"/>
  <c r="E8" i="46" s="1"/>
  <c r="F8" i="46" s="1"/>
  <c r="G27" i="46"/>
  <c r="F27" i="46"/>
  <c r="E27" i="46"/>
  <c r="C27" i="46"/>
  <c r="B27" i="46"/>
  <c r="C13" i="46"/>
  <c r="C15" i="46" s="1"/>
  <c r="C17" i="46" s="1"/>
  <c r="C11" i="46"/>
  <c r="D6" i="46"/>
  <c r="C9" i="40"/>
  <c r="C8" i="40"/>
  <c r="C12" i="40"/>
  <c r="D12" i="40" s="1"/>
  <c r="E12" i="40" s="1"/>
  <c r="G12" i="40" s="1"/>
  <c r="D7" i="40"/>
  <c r="E7" i="40" s="1"/>
  <c r="G7" i="40" s="1"/>
  <c r="I36" i="40"/>
  <c r="G35" i="40"/>
  <c r="F35" i="40"/>
  <c r="E35" i="40"/>
  <c r="D35" i="40"/>
  <c r="C35" i="40"/>
  <c r="B35" i="40"/>
  <c r="G22" i="40"/>
  <c r="F22" i="40"/>
  <c r="E22" i="40"/>
  <c r="D22" i="40"/>
  <c r="C22" i="40"/>
  <c r="C17" i="40"/>
  <c r="G11" i="40"/>
  <c r="F11" i="40"/>
  <c r="E11" i="40"/>
  <c r="D11" i="40"/>
  <c r="C11" i="40"/>
  <c r="D10" i="40"/>
  <c r="E10" i="40" s="1"/>
  <c r="D5" i="40"/>
  <c r="I44" i="48" l="1"/>
  <c r="E6" i="46"/>
  <c r="E10" i="46" s="1"/>
  <c r="E9" i="46" s="1"/>
  <c r="D10" i="46"/>
  <c r="D9" i="46" s="1"/>
  <c r="D12" i="48"/>
  <c r="D17" i="48" s="1"/>
  <c r="C17" i="41"/>
  <c r="E14" i="40"/>
  <c r="D8" i="40"/>
  <c r="E13" i="40"/>
  <c r="D14" i="40"/>
  <c r="E12" i="48"/>
  <c r="E17" i="48" s="1"/>
  <c r="D9" i="40"/>
  <c r="E8" i="48"/>
  <c r="F5" i="48"/>
  <c r="G5" i="48" s="1"/>
  <c r="H5" i="48" s="1"/>
  <c r="D8" i="48"/>
  <c r="D9" i="48"/>
  <c r="D26" i="48"/>
  <c r="D13" i="48"/>
  <c r="D14" i="48"/>
  <c r="E10" i="48"/>
  <c r="E22" i="48"/>
  <c r="D24" i="48"/>
  <c r="D25" i="48"/>
  <c r="F12" i="48"/>
  <c r="F17" i="48" s="1"/>
  <c r="G7" i="48"/>
  <c r="E9" i="48"/>
  <c r="C15" i="48"/>
  <c r="C25" i="48"/>
  <c r="C14" i="48"/>
  <c r="C24" i="48"/>
  <c r="C13" i="48"/>
  <c r="D8" i="41"/>
  <c r="D9" i="41"/>
  <c r="C13" i="41"/>
  <c r="C14" i="41"/>
  <c r="F12" i="41"/>
  <c r="D14" i="41"/>
  <c r="D13" i="41"/>
  <c r="F7" i="41"/>
  <c r="I53" i="41"/>
  <c r="E5" i="41"/>
  <c r="F5" i="41" s="1"/>
  <c r="G5" i="41" s="1"/>
  <c r="C35" i="41"/>
  <c r="E10" i="41"/>
  <c r="E14" i="41" s="1"/>
  <c r="C15" i="41"/>
  <c r="D27" i="41"/>
  <c r="C30" i="41"/>
  <c r="H27" i="46"/>
  <c r="E11" i="46"/>
  <c r="F6" i="46"/>
  <c r="F10" i="46" s="1"/>
  <c r="F9" i="46" s="1"/>
  <c r="D11" i="46"/>
  <c r="C16" i="46"/>
  <c r="D13" i="46"/>
  <c r="C14" i="40"/>
  <c r="C13" i="40"/>
  <c r="C15" i="40" s="1"/>
  <c r="D13" i="40"/>
  <c r="I35" i="40"/>
  <c r="D17" i="40"/>
  <c r="E17" i="40" s="1"/>
  <c r="E20" i="40" s="1"/>
  <c r="C20" i="40"/>
  <c r="C24" i="40"/>
  <c r="C23" i="40"/>
  <c r="D21" i="40"/>
  <c r="E5" i="40"/>
  <c r="F10" i="40"/>
  <c r="C19" i="40"/>
  <c r="F9" i="48" l="1"/>
  <c r="G9" i="48"/>
  <c r="D15" i="40"/>
  <c r="G8" i="48"/>
  <c r="D20" i="40"/>
  <c r="D17" i="41"/>
  <c r="E17" i="41" s="1"/>
  <c r="F17" i="41" s="1"/>
  <c r="G17" i="41" s="1"/>
  <c r="C22" i="41"/>
  <c r="D22" i="41" s="1"/>
  <c r="E22" i="41" s="1"/>
  <c r="F22" i="41" s="1"/>
  <c r="G22" i="41" s="1"/>
  <c r="F8" i="48"/>
  <c r="C29" i="48"/>
  <c r="C28" i="48"/>
  <c r="C30" i="48"/>
  <c r="C33" i="48" s="1"/>
  <c r="E13" i="48"/>
  <c r="E14" i="48"/>
  <c r="F10" i="48"/>
  <c r="D28" i="48"/>
  <c r="D29" i="48"/>
  <c r="E26" i="48"/>
  <c r="C18" i="48"/>
  <c r="C20" i="48" s="1"/>
  <c r="C19" i="48"/>
  <c r="D15" i="48"/>
  <c r="G12" i="48"/>
  <c r="G17" i="48" s="1"/>
  <c r="H7" i="48"/>
  <c r="H9" i="48" s="1"/>
  <c r="F22" i="48"/>
  <c r="E24" i="48"/>
  <c r="E25" i="48"/>
  <c r="I5" i="48"/>
  <c r="E8" i="41"/>
  <c r="E13" i="41"/>
  <c r="C19" i="41"/>
  <c r="C18" i="41"/>
  <c r="E9" i="41"/>
  <c r="G12" i="41"/>
  <c r="G7" i="41"/>
  <c r="F9" i="41"/>
  <c r="F8" i="41"/>
  <c r="D31" i="41"/>
  <c r="C34" i="41"/>
  <c r="C33" i="41"/>
  <c r="C37" i="41"/>
  <c r="C38" i="41"/>
  <c r="C39" i="41"/>
  <c r="D35" i="41"/>
  <c r="D30" i="41"/>
  <c r="D29" i="41"/>
  <c r="E27" i="41"/>
  <c r="C20" i="41"/>
  <c r="D15" i="41"/>
  <c r="H5" i="41"/>
  <c r="F10" i="41"/>
  <c r="F14" i="41" s="1"/>
  <c r="D16" i="46"/>
  <c r="E13" i="46"/>
  <c r="D15" i="46"/>
  <c r="D17" i="46" s="1"/>
  <c r="F11" i="46"/>
  <c r="F14" i="40"/>
  <c r="F13" i="40"/>
  <c r="E8" i="40"/>
  <c r="E15" i="40" s="1"/>
  <c r="E9" i="40"/>
  <c r="D19" i="40"/>
  <c r="E19" i="40"/>
  <c r="F17" i="40"/>
  <c r="F20" i="40" s="1"/>
  <c r="C25" i="40"/>
  <c r="G10" i="40"/>
  <c r="F5" i="40"/>
  <c r="D24" i="40"/>
  <c r="D23" i="40"/>
  <c r="E21" i="40"/>
  <c r="D25" i="40" l="1"/>
  <c r="H8" i="48"/>
  <c r="C32" i="48"/>
  <c r="C34" i="48" s="1"/>
  <c r="D30" i="48"/>
  <c r="E30" i="48" s="1"/>
  <c r="F13" i="48"/>
  <c r="F14" i="48"/>
  <c r="G10" i="48"/>
  <c r="D18" i="48"/>
  <c r="D20" i="48" s="1"/>
  <c r="D19" i="48"/>
  <c r="E15" i="48"/>
  <c r="G22" i="48"/>
  <c r="F24" i="48"/>
  <c r="F25" i="48"/>
  <c r="E29" i="48"/>
  <c r="F26" i="48"/>
  <c r="E28" i="48"/>
  <c r="I12" i="48"/>
  <c r="I17" i="48" s="1"/>
  <c r="H12" i="48"/>
  <c r="H17" i="48" s="1"/>
  <c r="C24" i="41"/>
  <c r="C23" i="41"/>
  <c r="C25" i="41" s="1"/>
  <c r="F13" i="41"/>
  <c r="D19" i="41"/>
  <c r="D18" i="41"/>
  <c r="H22" i="41"/>
  <c r="H17" i="41"/>
  <c r="H12" i="41"/>
  <c r="G8" i="41"/>
  <c r="G9" i="41"/>
  <c r="H7" i="41"/>
  <c r="E31" i="41"/>
  <c r="D33" i="41"/>
  <c r="D34" i="41"/>
  <c r="E15" i="41"/>
  <c r="D20" i="41"/>
  <c r="E29" i="41"/>
  <c r="E30" i="41"/>
  <c r="F27" i="41"/>
  <c r="G10" i="41"/>
  <c r="D38" i="41"/>
  <c r="E35" i="41"/>
  <c r="D37" i="41"/>
  <c r="D39" i="41"/>
  <c r="C41" i="41"/>
  <c r="C43" i="41" s="1"/>
  <c r="C42" i="41"/>
  <c r="H27" i="41"/>
  <c r="I5" i="41"/>
  <c r="E16" i="46"/>
  <c r="F13" i="46"/>
  <c r="E15" i="46"/>
  <c r="E17" i="46" s="1"/>
  <c r="F8" i="40"/>
  <c r="F15" i="40" s="1"/>
  <c r="F9" i="40"/>
  <c r="G17" i="40"/>
  <c r="G20" i="40" s="1"/>
  <c r="G14" i="40"/>
  <c r="G13" i="40"/>
  <c r="F19" i="40"/>
  <c r="F21" i="40"/>
  <c r="E23" i="40"/>
  <c r="E25" i="40" s="1"/>
  <c r="E24" i="40"/>
  <c r="G5" i="40"/>
  <c r="D33" i="48" l="1"/>
  <c r="D32" i="48"/>
  <c r="D34" i="48" s="1"/>
  <c r="G14" i="41"/>
  <c r="H10" i="41"/>
  <c r="I10" i="41" s="1"/>
  <c r="G19" i="40"/>
  <c r="G26" i="48"/>
  <c r="F29" i="48"/>
  <c r="F28" i="48"/>
  <c r="F30" i="48"/>
  <c r="E32" i="48"/>
  <c r="E34" i="48" s="1"/>
  <c r="E33" i="48"/>
  <c r="G24" i="48"/>
  <c r="G25" i="48"/>
  <c r="H22" i="48"/>
  <c r="I8" i="48"/>
  <c r="G13" i="48"/>
  <c r="G14" i="48"/>
  <c r="H10" i="48"/>
  <c r="E19" i="48"/>
  <c r="E18" i="48"/>
  <c r="E20" i="48" s="1"/>
  <c r="F15" i="48"/>
  <c r="I9" i="48"/>
  <c r="G13" i="41"/>
  <c r="D23" i="41"/>
  <c r="D25" i="41" s="1"/>
  <c r="D24" i="41"/>
  <c r="E19" i="41"/>
  <c r="E18" i="41"/>
  <c r="H8" i="41"/>
  <c r="H9" i="41"/>
  <c r="E34" i="41"/>
  <c r="F31" i="41"/>
  <c r="E33" i="41"/>
  <c r="E39" i="41"/>
  <c r="D41" i="41"/>
  <c r="D43" i="41" s="1"/>
  <c r="D42" i="41"/>
  <c r="E20" i="41"/>
  <c r="F35" i="41"/>
  <c r="E37" i="41"/>
  <c r="E38" i="41"/>
  <c r="F15" i="41"/>
  <c r="I27" i="41"/>
  <c r="H29" i="41"/>
  <c r="H30" i="41"/>
  <c r="G27" i="41"/>
  <c r="F29" i="41"/>
  <c r="F30" i="41"/>
  <c r="F16" i="46"/>
  <c r="F15" i="46"/>
  <c r="F17" i="46" s="1"/>
  <c r="G9" i="40"/>
  <c r="G8" i="40"/>
  <c r="G15" i="40" s="1"/>
  <c r="G21" i="40"/>
  <c r="F23" i="40"/>
  <c r="F25" i="40" s="1"/>
  <c r="F24" i="40"/>
  <c r="H14" i="41" l="1"/>
  <c r="H13" i="41"/>
  <c r="H15" i="41"/>
  <c r="H19" i="41" s="1"/>
  <c r="H18" i="41"/>
  <c r="H24" i="48"/>
  <c r="H25" i="48"/>
  <c r="I22" i="48"/>
  <c r="F32" i="48"/>
  <c r="F34" i="48" s="1"/>
  <c r="F33" i="48"/>
  <c r="G30" i="48"/>
  <c r="G15" i="48"/>
  <c r="F19" i="48"/>
  <c r="F18" i="48"/>
  <c r="F20" i="48" s="1"/>
  <c r="H26" i="48"/>
  <c r="G28" i="48"/>
  <c r="G29" i="48"/>
  <c r="H14" i="48"/>
  <c r="I10" i="48"/>
  <c r="H13" i="48"/>
  <c r="F18" i="41"/>
  <c r="F19" i="41"/>
  <c r="E23" i="41"/>
  <c r="E24" i="41"/>
  <c r="I14" i="41"/>
  <c r="I13" i="41"/>
  <c r="I9" i="41"/>
  <c r="I8" i="41"/>
  <c r="F34" i="41"/>
  <c r="F33" i="41"/>
  <c r="G31" i="41"/>
  <c r="H31" i="41" s="1"/>
  <c r="I31" i="41" s="1"/>
  <c r="G30" i="41"/>
  <c r="G29" i="41"/>
  <c r="G15" i="41"/>
  <c r="I29" i="41"/>
  <c r="I30" i="41"/>
  <c r="G35" i="41"/>
  <c r="F37" i="41"/>
  <c r="F38" i="41"/>
  <c r="E41" i="41"/>
  <c r="E43" i="41" s="1"/>
  <c r="E42" i="41"/>
  <c r="F39" i="41"/>
  <c r="E25" i="41"/>
  <c r="F20" i="41"/>
  <c r="G24" i="40"/>
  <c r="G23" i="40"/>
  <c r="G25" i="40" s="1"/>
  <c r="H35" i="41" l="1"/>
  <c r="H37" i="41" s="1"/>
  <c r="H34" i="41"/>
  <c r="H20" i="41"/>
  <c r="H24" i="41" s="1"/>
  <c r="I15" i="41"/>
  <c r="I18" i="41" s="1"/>
  <c r="H33" i="41"/>
  <c r="I26" i="48"/>
  <c r="H28" i="48"/>
  <c r="H29" i="48"/>
  <c r="I25" i="48"/>
  <c r="I24" i="48"/>
  <c r="H15" i="48"/>
  <c r="G18" i="48"/>
  <c r="G20" i="48" s="1"/>
  <c r="G19" i="48"/>
  <c r="G32" i="48"/>
  <c r="G34" i="48" s="1"/>
  <c r="G33" i="48"/>
  <c r="H30" i="48"/>
  <c r="I14" i="48"/>
  <c r="I13" i="48"/>
  <c r="G18" i="41"/>
  <c r="G19" i="41"/>
  <c r="F23" i="41"/>
  <c r="F25" i="41" s="1"/>
  <c r="F24" i="41"/>
  <c r="G33" i="41"/>
  <c r="G34" i="41"/>
  <c r="I33" i="41"/>
  <c r="I34" i="41"/>
  <c r="G37" i="41"/>
  <c r="G38" i="41"/>
  <c r="F42" i="41"/>
  <c r="F41" i="41"/>
  <c r="F43" i="41" s="1"/>
  <c r="G39" i="41"/>
  <c r="G20" i="41"/>
  <c r="H38" i="41" l="1"/>
  <c r="H39" i="41"/>
  <c r="H42" i="41" s="1"/>
  <c r="I35" i="41"/>
  <c r="I37" i="41" s="1"/>
  <c r="I19" i="41"/>
  <c r="H23" i="41"/>
  <c r="H25" i="41" s="1"/>
  <c r="I20" i="41"/>
  <c r="I23" i="41" s="1"/>
  <c r="I25" i="41" s="1"/>
  <c r="I15" i="48"/>
  <c r="H18" i="48"/>
  <c r="H20" i="48" s="1"/>
  <c r="H19" i="48"/>
  <c r="I28" i="48"/>
  <c r="I29" i="48"/>
  <c r="H32" i="48"/>
  <c r="H34" i="48" s="1"/>
  <c r="H33" i="48"/>
  <c r="I30" i="48"/>
  <c r="G23" i="41"/>
  <c r="G24" i="41"/>
  <c r="G25" i="41"/>
  <c r="I39" i="41"/>
  <c r="H41" i="41"/>
  <c r="H43" i="41" s="1"/>
  <c r="G41" i="41"/>
  <c r="G43" i="41" s="1"/>
  <c r="G42" i="41"/>
  <c r="I38" i="41" l="1"/>
  <c r="I24" i="41"/>
  <c r="I33" i="48"/>
  <c r="I32" i="48"/>
  <c r="I34" i="48" s="1"/>
  <c r="I18" i="48"/>
  <c r="I20" i="48" s="1"/>
  <c r="I19" i="48"/>
  <c r="I41" i="41"/>
  <c r="I43" i="41" s="1"/>
  <c r="I42" i="41"/>
  <c r="C9" i="38" l="1"/>
  <c r="C8" i="38"/>
  <c r="C12" i="38"/>
  <c r="C17" i="38" s="1"/>
  <c r="C22" i="38" s="1"/>
  <c r="D7" i="38"/>
  <c r="E7" i="38" s="1"/>
  <c r="F7" i="38" s="1"/>
  <c r="G7" i="38" s="1"/>
  <c r="H7" i="38" s="1"/>
  <c r="I12" i="38" s="1"/>
  <c r="I17" i="38" s="1"/>
  <c r="I22" i="38" s="1"/>
  <c r="C9" i="8"/>
  <c r="C8" i="8"/>
  <c r="C12" i="8"/>
  <c r="C17" i="8" s="1"/>
  <c r="D7" i="8"/>
  <c r="E7" i="8" s="1"/>
  <c r="F7" i="8" s="1"/>
  <c r="G7" i="8" s="1"/>
  <c r="H7" i="8" s="1"/>
  <c r="H12" i="8" s="1"/>
  <c r="H17" i="8" s="1"/>
  <c r="C9" i="7"/>
  <c r="C8" i="7"/>
  <c r="C12" i="7"/>
  <c r="D7" i="7"/>
  <c r="D12" i="7" s="1"/>
  <c r="C9" i="2"/>
  <c r="C8" i="2"/>
  <c r="D22" i="2"/>
  <c r="E22" i="2" s="1"/>
  <c r="F22" i="2" s="1"/>
  <c r="G22" i="2" s="1"/>
  <c r="H22" i="2" s="1"/>
  <c r="D17" i="2"/>
  <c r="E17" i="2" s="1"/>
  <c r="F17" i="2" s="1"/>
  <c r="G17" i="2" s="1"/>
  <c r="H17" i="2" s="1"/>
  <c r="D12" i="2"/>
  <c r="E12" i="2" s="1"/>
  <c r="F12" i="2" s="1"/>
  <c r="G12" i="2" s="1"/>
  <c r="H12" i="2" s="1"/>
  <c r="D7" i="2"/>
  <c r="E7" i="2" s="1"/>
  <c r="F7" i="2" s="1"/>
  <c r="G7" i="2" s="1"/>
  <c r="H7" i="2" s="1"/>
  <c r="H12" i="38" l="1"/>
  <c r="H17" i="38" s="1"/>
  <c r="H22" i="38" s="1"/>
  <c r="G12" i="38"/>
  <c r="G17" i="38" s="1"/>
  <c r="G22" i="38" s="1"/>
  <c r="D12" i="38"/>
  <c r="D17" i="38" s="1"/>
  <c r="D22" i="38" s="1"/>
  <c r="E12" i="38"/>
  <c r="E17" i="38" s="1"/>
  <c r="E22" i="38" s="1"/>
  <c r="F12" i="38"/>
  <c r="F17" i="38" s="1"/>
  <c r="F22" i="38" s="1"/>
  <c r="E12" i="8"/>
  <c r="E17" i="8" s="1"/>
  <c r="I12" i="8"/>
  <c r="I17" i="8" s="1"/>
  <c r="D12" i="8"/>
  <c r="D17" i="8" s="1"/>
  <c r="G12" i="8"/>
  <c r="G17" i="8" s="1"/>
  <c r="F12" i="8"/>
  <c r="F17" i="8" s="1"/>
  <c r="E7" i="7"/>
  <c r="F7" i="7" l="1"/>
  <c r="E12" i="7"/>
  <c r="G7" i="7" l="1"/>
  <c r="F12" i="7"/>
  <c r="H7" i="7" l="1"/>
  <c r="H12" i="7" s="1"/>
  <c r="G12" i="7"/>
  <c r="C44" i="8" l="1"/>
  <c r="E44" i="8"/>
  <c r="F44" i="8"/>
  <c r="G44" i="8"/>
  <c r="H44" i="8"/>
  <c r="B44" i="8"/>
  <c r="I45" i="8"/>
  <c r="I54" i="38"/>
  <c r="H53" i="38"/>
  <c r="G53" i="38"/>
  <c r="F53" i="38"/>
  <c r="E53" i="38"/>
  <c r="D53" i="38"/>
  <c r="C53" i="38"/>
  <c r="B53" i="38"/>
  <c r="I32" i="38"/>
  <c r="I36" i="38" s="1"/>
  <c r="I40" i="38" s="1"/>
  <c r="H32" i="38"/>
  <c r="H36" i="38" s="1"/>
  <c r="H40" i="38" s="1"/>
  <c r="G32" i="38"/>
  <c r="G36" i="38" s="1"/>
  <c r="G40" i="38" s="1"/>
  <c r="F32" i="38"/>
  <c r="F36" i="38" s="1"/>
  <c r="F40" i="38" s="1"/>
  <c r="E32" i="38"/>
  <c r="E36" i="38" s="1"/>
  <c r="E40" i="38" s="1"/>
  <c r="D32" i="38"/>
  <c r="D36" i="38" s="1"/>
  <c r="D40" i="38" s="1"/>
  <c r="C32" i="38"/>
  <c r="C36" i="38" s="1"/>
  <c r="C40" i="38" s="1"/>
  <c r="C27" i="38"/>
  <c r="I11" i="38"/>
  <c r="I16" i="38" s="1"/>
  <c r="I21" i="38" s="1"/>
  <c r="H11" i="38"/>
  <c r="H16" i="38" s="1"/>
  <c r="H21" i="38" s="1"/>
  <c r="G11" i="38"/>
  <c r="G16" i="38" s="1"/>
  <c r="G21" i="38" s="1"/>
  <c r="F11" i="38"/>
  <c r="F16" i="38" s="1"/>
  <c r="F21" i="38" s="1"/>
  <c r="E11" i="38"/>
  <c r="E16" i="38" s="1"/>
  <c r="E21" i="38" s="1"/>
  <c r="D11" i="38"/>
  <c r="D16" i="38" s="1"/>
  <c r="D21" i="38" s="1"/>
  <c r="C11" i="38"/>
  <c r="C16" i="38" s="1"/>
  <c r="C21" i="38" s="1"/>
  <c r="D5" i="38"/>
  <c r="D8" i="38" l="1"/>
  <c r="D9" i="38"/>
  <c r="C14" i="38"/>
  <c r="C13" i="38"/>
  <c r="E5" i="38"/>
  <c r="F5" i="38" s="1"/>
  <c r="C34" i="38"/>
  <c r="C33" i="38"/>
  <c r="D27" i="38"/>
  <c r="C30" i="38"/>
  <c r="C29" i="38"/>
  <c r="I53" i="38"/>
  <c r="C15" i="38"/>
  <c r="C20" i="38" s="1"/>
  <c r="C35" i="38"/>
  <c r="C39" i="38" s="1"/>
  <c r="D31" i="38"/>
  <c r="D10" i="38"/>
  <c r="C41" i="38" l="1"/>
  <c r="D39" i="38"/>
  <c r="C42" i="38"/>
  <c r="C23" i="38"/>
  <c r="D20" i="38"/>
  <c r="C24" i="38"/>
  <c r="D14" i="38"/>
  <c r="D13" i="38"/>
  <c r="E9" i="38"/>
  <c r="E8" i="38"/>
  <c r="F8" i="38"/>
  <c r="F9" i="38"/>
  <c r="C18" i="38"/>
  <c r="C19" i="38"/>
  <c r="D29" i="38"/>
  <c r="D30" i="38"/>
  <c r="D33" i="38"/>
  <c r="D34" i="38"/>
  <c r="C37" i="38"/>
  <c r="C38" i="38"/>
  <c r="E27" i="38"/>
  <c r="D15" i="38"/>
  <c r="E10" i="38"/>
  <c r="E31" i="38"/>
  <c r="D35" i="38"/>
  <c r="G5" i="38"/>
  <c r="C43" i="38" l="1"/>
  <c r="C25" i="38"/>
  <c r="D42" i="38"/>
  <c r="E39" i="38"/>
  <c r="D41" i="38"/>
  <c r="E20" i="38"/>
  <c r="D23" i="38"/>
  <c r="D24" i="38"/>
  <c r="G9" i="38"/>
  <c r="G8" i="38"/>
  <c r="E13" i="38"/>
  <c r="E14" i="38"/>
  <c r="D19" i="38"/>
  <c r="D18" i="38"/>
  <c r="D37" i="38"/>
  <c r="D38" i="38"/>
  <c r="E29" i="38"/>
  <c r="E30" i="38"/>
  <c r="F27" i="38"/>
  <c r="G27" i="38" s="1"/>
  <c r="E34" i="38"/>
  <c r="E33" i="38"/>
  <c r="F10" i="38"/>
  <c r="E35" i="38"/>
  <c r="E15" i="38"/>
  <c r="H5" i="38"/>
  <c r="F31" i="38"/>
  <c r="D43" i="38" l="1"/>
  <c r="D25" i="38"/>
  <c r="F39" i="38"/>
  <c r="E41" i="38"/>
  <c r="E42" i="38"/>
  <c r="E24" i="38"/>
  <c r="E23" i="38"/>
  <c r="F20" i="38"/>
  <c r="E19" i="38"/>
  <c r="E18" i="38"/>
  <c r="F13" i="38"/>
  <c r="F14" i="38"/>
  <c r="H8" i="38"/>
  <c r="H9" i="38"/>
  <c r="E38" i="38"/>
  <c r="E37" i="38"/>
  <c r="G29" i="38"/>
  <c r="G30" i="38"/>
  <c r="F33" i="38"/>
  <c r="F34" i="38"/>
  <c r="F29" i="38"/>
  <c r="F30" i="38"/>
  <c r="F35" i="38"/>
  <c r="G31" i="38"/>
  <c r="G10" i="38"/>
  <c r="H27" i="38"/>
  <c r="I5" i="38"/>
  <c r="F15" i="38"/>
  <c r="E43" i="38" l="1"/>
  <c r="E25" i="38"/>
  <c r="G39" i="38"/>
  <c r="F41" i="38"/>
  <c r="F42" i="38"/>
  <c r="G20" i="38"/>
  <c r="F24" i="38"/>
  <c r="F23" i="38"/>
  <c r="F19" i="38"/>
  <c r="F18" i="38"/>
  <c r="I8" i="38"/>
  <c r="I9" i="38"/>
  <c r="G14" i="38"/>
  <c r="G13" i="38"/>
  <c r="H29" i="38"/>
  <c r="H30" i="38"/>
  <c r="G33" i="38"/>
  <c r="G34" i="38"/>
  <c r="F37" i="38"/>
  <c r="F38" i="38"/>
  <c r="I27" i="38"/>
  <c r="H31" i="38"/>
  <c r="G35" i="38"/>
  <c r="H10" i="38"/>
  <c r="G15" i="38"/>
  <c r="F43" i="38" l="1"/>
  <c r="F25" i="38"/>
  <c r="G41" i="38"/>
  <c r="H39" i="38"/>
  <c r="G42" i="38"/>
  <c r="G23" i="38"/>
  <c r="H20" i="38"/>
  <c r="G24" i="38"/>
  <c r="G18" i="38"/>
  <c r="G19" i="38"/>
  <c r="H13" i="38"/>
  <c r="H14" i="38"/>
  <c r="I30" i="38"/>
  <c r="I29" i="38"/>
  <c r="G38" i="38"/>
  <c r="G37" i="38"/>
  <c r="H33" i="38"/>
  <c r="H34" i="38"/>
  <c r="H35" i="38"/>
  <c r="I31" i="38"/>
  <c r="I10" i="38"/>
  <c r="H15" i="38"/>
  <c r="G25" i="38" l="1"/>
  <c r="G43" i="38"/>
  <c r="H41" i="38"/>
  <c r="H42" i="38"/>
  <c r="I39" i="38"/>
  <c r="H23" i="38"/>
  <c r="H24" i="38"/>
  <c r="I20" i="38"/>
  <c r="H18" i="38"/>
  <c r="H19" i="38"/>
  <c r="I13" i="38"/>
  <c r="I14" i="38"/>
  <c r="H38" i="38"/>
  <c r="H37" i="38"/>
  <c r="I33" i="38"/>
  <c r="I34" i="38"/>
  <c r="I15" i="38"/>
  <c r="I35" i="38"/>
  <c r="H43" i="38" l="1"/>
  <c r="H25" i="38"/>
  <c r="I42" i="38"/>
  <c r="I41" i="38"/>
  <c r="I24" i="38"/>
  <c r="I23" i="38"/>
  <c r="I19" i="38"/>
  <c r="I18" i="38"/>
  <c r="I38" i="38"/>
  <c r="I37" i="38"/>
  <c r="I25" i="38" l="1"/>
  <c r="I43" i="38"/>
  <c r="H32" i="2"/>
  <c r="H11" i="2"/>
  <c r="H16" i="2" s="1"/>
  <c r="C53" i="2"/>
  <c r="E53" i="2"/>
  <c r="F53" i="2"/>
  <c r="G53" i="2"/>
  <c r="B53" i="2"/>
  <c r="H54" i="2"/>
  <c r="C35" i="7"/>
  <c r="E35" i="7"/>
  <c r="F35" i="7"/>
  <c r="G35" i="7"/>
  <c r="H35" i="7"/>
  <c r="B35" i="7"/>
  <c r="I36" i="7"/>
  <c r="I35" i="7" l="1"/>
  <c r="H36" i="2"/>
  <c r="H40" i="2" s="1"/>
  <c r="H21" i="2"/>
  <c r="F27" i="8" l="1"/>
  <c r="F31" i="8" s="1"/>
  <c r="D27" i="8"/>
  <c r="D31" i="8" s="1"/>
  <c r="C27" i="8"/>
  <c r="C31" i="8" s="1"/>
  <c r="F11" i="8"/>
  <c r="F16" i="8" s="1"/>
  <c r="E11" i="8"/>
  <c r="E16" i="8" s="1"/>
  <c r="D11" i="8"/>
  <c r="D16" i="8" s="1"/>
  <c r="G27" i="8"/>
  <c r="G31" i="8" s="1"/>
  <c r="H27" i="8"/>
  <c r="H31" i="8" s="1"/>
  <c r="I27" i="8"/>
  <c r="I31" i="8" s="1"/>
  <c r="I11" i="8"/>
  <c r="I16" i="8" s="1"/>
  <c r="H11" i="8"/>
  <c r="H16" i="8" s="1"/>
  <c r="E27" i="8"/>
  <c r="E31" i="8" s="1"/>
  <c r="C22" i="8"/>
  <c r="G11" i="8"/>
  <c r="G16" i="8" s="1"/>
  <c r="C11" i="8"/>
  <c r="D5" i="8"/>
  <c r="H22" i="7"/>
  <c r="H11" i="7"/>
  <c r="G22" i="7"/>
  <c r="F22" i="7"/>
  <c r="E22" i="7"/>
  <c r="D22" i="7"/>
  <c r="C22" i="7"/>
  <c r="C17" i="7"/>
  <c r="G11" i="7"/>
  <c r="F11" i="7"/>
  <c r="E11" i="7"/>
  <c r="D11" i="7"/>
  <c r="C11" i="7"/>
  <c r="D5" i="7"/>
  <c r="C14" i="8" l="1"/>
  <c r="C13" i="8"/>
  <c r="D8" i="8"/>
  <c r="D9" i="8"/>
  <c r="D9" i="7"/>
  <c r="D8" i="7"/>
  <c r="C13" i="7"/>
  <c r="C15" i="7" s="1"/>
  <c r="C14" i="7"/>
  <c r="C24" i="8"/>
  <c r="C25" i="8"/>
  <c r="C20" i="7"/>
  <c r="C19" i="7"/>
  <c r="I44" i="8"/>
  <c r="D10" i="8"/>
  <c r="C15" i="8"/>
  <c r="D22" i="8"/>
  <c r="E5" i="8"/>
  <c r="C16" i="8"/>
  <c r="E5" i="7"/>
  <c r="D10" i="7"/>
  <c r="D17" i="7"/>
  <c r="D13" i="8" l="1"/>
  <c r="D14" i="8"/>
  <c r="E9" i="8"/>
  <c r="E8" i="8"/>
  <c r="C19" i="8"/>
  <c r="C18" i="8"/>
  <c r="C20" i="8" s="1"/>
  <c r="D13" i="7"/>
  <c r="D15" i="7" s="1"/>
  <c r="D14" i="7"/>
  <c r="E8" i="7"/>
  <c r="E9" i="7"/>
  <c r="C29" i="8"/>
  <c r="C28" i="8"/>
  <c r="D25" i="8"/>
  <c r="D24" i="8"/>
  <c r="D20" i="7"/>
  <c r="D19" i="7"/>
  <c r="C23" i="7"/>
  <c r="C25" i="7" s="1"/>
  <c r="C24" i="7"/>
  <c r="D26" i="8"/>
  <c r="C30" i="8"/>
  <c r="E10" i="8"/>
  <c r="F5" i="8"/>
  <c r="E22" i="8"/>
  <c r="D15" i="8"/>
  <c r="F5" i="7"/>
  <c r="D21" i="7"/>
  <c r="E17" i="7"/>
  <c r="E10" i="7"/>
  <c r="F9" i="8" l="1"/>
  <c r="F8" i="8"/>
  <c r="E13" i="8"/>
  <c r="E14" i="8"/>
  <c r="D18" i="8"/>
  <c r="D20" i="8" s="1"/>
  <c r="D19" i="8"/>
  <c r="E13" i="7"/>
  <c r="E15" i="7" s="1"/>
  <c r="E14" i="7"/>
  <c r="F8" i="7"/>
  <c r="F9" i="7"/>
  <c r="E24" i="8"/>
  <c r="E25" i="8"/>
  <c r="D28" i="8"/>
  <c r="D29" i="8"/>
  <c r="C32" i="8"/>
  <c r="C34" i="8" s="1"/>
  <c r="C33" i="8"/>
  <c r="E20" i="7"/>
  <c r="E19" i="7"/>
  <c r="D24" i="7"/>
  <c r="D23" i="7"/>
  <c r="D25" i="7" s="1"/>
  <c r="D30" i="8"/>
  <c r="E26" i="8"/>
  <c r="G5" i="8"/>
  <c r="F10" i="8"/>
  <c r="E15" i="8"/>
  <c r="F22" i="8"/>
  <c r="E21" i="7"/>
  <c r="F10" i="7"/>
  <c r="F17" i="7"/>
  <c r="G5" i="7"/>
  <c r="E18" i="8" l="1"/>
  <c r="E20" i="8" s="1"/>
  <c r="E19" i="8"/>
  <c r="F13" i="8"/>
  <c r="F14" i="8"/>
  <c r="G8" i="8"/>
  <c r="G9" i="8"/>
  <c r="F13" i="7"/>
  <c r="F15" i="7" s="1"/>
  <c r="F14" i="7"/>
  <c r="G8" i="7"/>
  <c r="G9" i="7"/>
  <c r="E29" i="8"/>
  <c r="E28" i="8"/>
  <c r="F25" i="8"/>
  <c r="F24" i="8"/>
  <c r="D32" i="8"/>
  <c r="D34" i="8" s="1"/>
  <c r="D33" i="8"/>
  <c r="E30" i="8"/>
  <c r="F30" i="8" s="1"/>
  <c r="E23" i="7"/>
  <c r="E25" i="7" s="1"/>
  <c r="E24" i="7"/>
  <c r="F20" i="7"/>
  <c r="F19" i="7"/>
  <c r="H5" i="8"/>
  <c r="F26" i="8"/>
  <c r="G26" i="8" s="1"/>
  <c r="H5" i="7"/>
  <c r="F15" i="8"/>
  <c r="G22" i="8"/>
  <c r="G10" i="8"/>
  <c r="F21" i="7"/>
  <c r="G10" i="7"/>
  <c r="G17" i="7"/>
  <c r="G14" i="8" l="1"/>
  <c r="G13" i="8"/>
  <c r="H8" i="8"/>
  <c r="H9" i="8"/>
  <c r="F18" i="8"/>
  <c r="F20" i="8" s="1"/>
  <c r="F19" i="8"/>
  <c r="H8" i="7"/>
  <c r="H9" i="7"/>
  <c r="G14" i="7"/>
  <c r="G13" i="7"/>
  <c r="G15" i="7" s="1"/>
  <c r="G28" i="8"/>
  <c r="G29" i="8"/>
  <c r="F32" i="8"/>
  <c r="F33" i="8"/>
  <c r="E33" i="8"/>
  <c r="E32" i="8"/>
  <c r="E34" i="8" s="1"/>
  <c r="G24" i="8"/>
  <c r="G25" i="8"/>
  <c r="F29" i="8"/>
  <c r="F28" i="8"/>
  <c r="F34" i="8" s="1"/>
  <c r="F23" i="7"/>
  <c r="F25" i="7" s="1"/>
  <c r="F24" i="7"/>
  <c r="H17" i="7"/>
  <c r="G19" i="7"/>
  <c r="G20" i="7"/>
  <c r="H10" i="8"/>
  <c r="H22" i="8"/>
  <c r="H26" i="8"/>
  <c r="I5" i="8"/>
  <c r="H10" i="7"/>
  <c r="G30" i="8"/>
  <c r="G15" i="8"/>
  <c r="G21" i="7"/>
  <c r="I8" i="8" l="1"/>
  <c r="I9" i="8"/>
  <c r="I10" i="8"/>
  <c r="H14" i="8"/>
  <c r="H13" i="8"/>
  <c r="G18" i="8"/>
  <c r="G20" i="8" s="1"/>
  <c r="G19" i="8"/>
  <c r="H14" i="7"/>
  <c r="H13" i="7"/>
  <c r="H15" i="7" s="1"/>
  <c r="I26" i="8"/>
  <c r="H29" i="8"/>
  <c r="H28" i="8"/>
  <c r="G32" i="8"/>
  <c r="G34" i="8" s="1"/>
  <c r="G33" i="8"/>
  <c r="H24" i="8"/>
  <c r="H25" i="8"/>
  <c r="H19" i="7"/>
  <c r="H20" i="7"/>
  <c r="H21" i="7"/>
  <c r="G24" i="7"/>
  <c r="G23" i="7"/>
  <c r="G25" i="7" s="1"/>
  <c r="H15" i="8"/>
  <c r="H30" i="8"/>
  <c r="I22" i="8"/>
  <c r="H18" i="8" l="1"/>
  <c r="H20" i="8" s="1"/>
  <c r="H19" i="8"/>
  <c r="I13" i="8"/>
  <c r="I14" i="8"/>
  <c r="H33" i="8"/>
  <c r="H32" i="8"/>
  <c r="H34" i="8" s="1"/>
  <c r="I28" i="8"/>
  <c r="I29" i="8"/>
  <c r="I25" i="8"/>
  <c r="I24" i="8"/>
  <c r="I15" i="8"/>
  <c r="H24" i="7"/>
  <c r="H23" i="7"/>
  <c r="H25" i="7" s="1"/>
  <c r="I30" i="8"/>
  <c r="I19" i="8" l="1"/>
  <c r="I18" i="8"/>
  <c r="I20" i="8" s="1"/>
  <c r="I32" i="8"/>
  <c r="I34" i="8" s="1"/>
  <c r="I33" i="8"/>
  <c r="H53" i="2" l="1"/>
  <c r="C27" i="2" l="1"/>
  <c r="G11" i="2"/>
  <c r="G16" i="2" s="1"/>
  <c r="G21" i="2" s="1"/>
  <c r="G32" i="2" s="1"/>
  <c r="G36" i="2" s="1"/>
  <c r="G40" i="2" s="1"/>
  <c r="F11" i="2"/>
  <c r="F16" i="2" s="1"/>
  <c r="F21" i="2" s="1"/>
  <c r="F32" i="2" s="1"/>
  <c r="F36" i="2" s="1"/>
  <c r="F40" i="2" s="1"/>
  <c r="E11" i="2"/>
  <c r="E16" i="2" s="1"/>
  <c r="E21" i="2" s="1"/>
  <c r="E32" i="2" s="1"/>
  <c r="E36" i="2" s="1"/>
  <c r="E40" i="2" s="1"/>
  <c r="D11" i="2"/>
  <c r="D16" i="2" s="1"/>
  <c r="D21" i="2" s="1"/>
  <c r="D32" i="2" s="1"/>
  <c r="D36" i="2" s="1"/>
  <c r="D40" i="2" s="1"/>
  <c r="C11" i="2"/>
  <c r="C16" i="2" s="1"/>
  <c r="C21" i="2" s="1"/>
  <c r="C32" i="2" s="1"/>
  <c r="C36" i="2" s="1"/>
  <c r="C40" i="2" s="1"/>
  <c r="D5" i="2"/>
  <c r="D9" i="2" l="1"/>
  <c r="D8" i="2"/>
  <c r="C14" i="2"/>
  <c r="C13" i="2"/>
  <c r="C30" i="2"/>
  <c r="C29" i="2"/>
  <c r="E5" i="2"/>
  <c r="D10" i="2"/>
  <c r="C15" i="2"/>
  <c r="D27" i="2"/>
  <c r="E8" i="2" l="1"/>
  <c r="E9" i="2"/>
  <c r="C19" i="2"/>
  <c r="C18" i="2"/>
  <c r="D14" i="2"/>
  <c r="D13" i="2"/>
  <c r="D31" i="2"/>
  <c r="E31" i="2" s="1"/>
  <c r="C33" i="2"/>
  <c r="C34" i="2"/>
  <c r="D29" i="2"/>
  <c r="D30" i="2"/>
  <c r="F5" i="2"/>
  <c r="C35" i="2"/>
  <c r="E27" i="2"/>
  <c r="D15" i="2"/>
  <c r="C20" i="2"/>
  <c r="E10" i="2"/>
  <c r="C23" i="2" l="1"/>
  <c r="C24" i="2"/>
  <c r="D19" i="2"/>
  <c r="D18" i="2"/>
  <c r="F8" i="2"/>
  <c r="F9" i="2"/>
  <c r="E13" i="2"/>
  <c r="E14" i="2"/>
  <c r="E30" i="2"/>
  <c r="E29" i="2"/>
  <c r="E33" i="2"/>
  <c r="E34" i="2"/>
  <c r="C37" i="2"/>
  <c r="C38" i="2"/>
  <c r="G5" i="2"/>
  <c r="D34" i="2"/>
  <c r="D33" i="2"/>
  <c r="C39" i="2"/>
  <c r="D35" i="2"/>
  <c r="F31" i="2"/>
  <c r="F10" i="2"/>
  <c r="E15" i="2"/>
  <c r="F27" i="2"/>
  <c r="D20" i="2"/>
  <c r="E18" i="2" l="1"/>
  <c r="E19" i="2"/>
  <c r="D23" i="2"/>
  <c r="D24" i="2"/>
  <c r="G8" i="2"/>
  <c r="G9" i="2"/>
  <c r="F13" i="2"/>
  <c r="F14" i="2"/>
  <c r="F30" i="2"/>
  <c r="F29" i="2"/>
  <c r="F33" i="2"/>
  <c r="F34" i="2"/>
  <c r="D37" i="2"/>
  <c r="D38" i="2"/>
  <c r="D39" i="2"/>
  <c r="C41" i="2"/>
  <c r="C43" i="2" s="1"/>
  <c r="C42" i="2"/>
  <c r="H5" i="2"/>
  <c r="E35" i="2"/>
  <c r="F35" i="2" s="1"/>
  <c r="C25" i="2"/>
  <c r="E20" i="2"/>
  <c r="G31" i="2"/>
  <c r="G27" i="2"/>
  <c r="F15" i="2"/>
  <c r="G10" i="2"/>
  <c r="G14" i="2" l="1"/>
  <c r="G13" i="2"/>
  <c r="E23" i="2"/>
  <c r="E24" i="2"/>
  <c r="H9" i="2"/>
  <c r="H8" i="2"/>
  <c r="F18" i="2"/>
  <c r="F19" i="2"/>
  <c r="E38" i="2"/>
  <c r="E37" i="2"/>
  <c r="H31" i="2"/>
  <c r="G34" i="2"/>
  <c r="G33" i="2"/>
  <c r="F38" i="2"/>
  <c r="F37" i="2"/>
  <c r="H10" i="2"/>
  <c r="D41" i="2"/>
  <c r="D43" i="2" s="1"/>
  <c r="D42" i="2"/>
  <c r="H27" i="2"/>
  <c r="G30" i="2"/>
  <c r="G29" i="2"/>
  <c r="E39" i="2"/>
  <c r="D25" i="2"/>
  <c r="G15" i="2"/>
  <c r="G35" i="2"/>
  <c r="F20" i="2"/>
  <c r="G18" i="2" l="1"/>
  <c r="G19" i="2"/>
  <c r="H14" i="2"/>
  <c r="H13" i="2"/>
  <c r="F23" i="2"/>
  <c r="F24" i="2"/>
  <c r="E41" i="2"/>
  <c r="E43" i="2" s="1"/>
  <c r="E42" i="2"/>
  <c r="H33" i="2"/>
  <c r="H34" i="2"/>
  <c r="H35" i="2"/>
  <c r="G38" i="2"/>
  <c r="G37" i="2"/>
  <c r="H15" i="2"/>
  <c r="F39" i="2"/>
  <c r="H29" i="2"/>
  <c r="H30" i="2"/>
  <c r="E25" i="2"/>
  <c r="G20" i="2"/>
  <c r="H19" i="2" l="1"/>
  <c r="H18" i="2"/>
  <c r="G24" i="2"/>
  <c r="G23" i="2"/>
  <c r="F42" i="2"/>
  <c r="F41" i="2"/>
  <c r="F43" i="2" s="1"/>
  <c r="H37" i="2"/>
  <c r="H38" i="2"/>
  <c r="G39" i="2"/>
  <c r="H20" i="2"/>
  <c r="F25" i="2"/>
  <c r="H24" i="2" l="1"/>
  <c r="H23" i="2"/>
  <c r="H25" i="2"/>
  <c r="H39" i="2"/>
  <c r="G42" i="2"/>
  <c r="G41" i="2"/>
  <c r="G43" i="2" s="1"/>
  <c r="G25" i="2"/>
  <c r="H41" i="2" l="1"/>
  <c r="H43" i="2" s="1"/>
  <c r="H42" i="2"/>
</calcChain>
</file>

<file path=xl/sharedStrings.xml><?xml version="1.0" encoding="utf-8"?>
<sst xmlns="http://schemas.openxmlformats.org/spreadsheetml/2006/main" count="993" uniqueCount="118">
  <si>
    <t>All India Candidates</t>
  </si>
  <si>
    <t>Year/Payment Options</t>
  </si>
  <si>
    <t>Heads</t>
  </si>
  <si>
    <t>Graduation % &gt;=95 or CAT/XAT %ile &gt;=85.01  or MAT/CMAT %ile &gt;=99</t>
  </si>
  <si>
    <t>Graduation % &gt;=90 and  &lt;95 or CAT/XAT %ile 80.01 - 85.00  or MAT/CMAT %ile 95.01 - 99</t>
  </si>
  <si>
    <t>Graduation % &gt;=85 and  &lt;90 or CAT/XAT %ile 75.01 - 80.00  or MAT/CMAT %ile 93.01 - 95</t>
  </si>
  <si>
    <t>Graduation % &gt;=80 and &lt;85 or CAT/XAT %ile 70.01 - 75  or MAT/CMAT %ile 90.01 - 93</t>
  </si>
  <si>
    <t>Graduation % &gt;=75 and &lt;80 or CAT/XAT %ile 65.01 - 70.00  or MAT/CMAT %ile 85 - 90</t>
  </si>
  <si>
    <t>Graduation % &gt;=70 and &lt;75 or CAT/XAT %ile 60 - 65.00</t>
  </si>
  <si>
    <t>10% Additional Scholarship on Net Tuition Fee for Girls Candidates</t>
  </si>
  <si>
    <t>Tuition Fee Per Semester</t>
  </si>
  <si>
    <t xml:space="preserve">Scholarship </t>
  </si>
  <si>
    <t>Tuition Fee per sem</t>
  </si>
  <si>
    <t>Total Fee (Per Year Installment)</t>
  </si>
  <si>
    <t>Uttarakhand/State Candidates</t>
  </si>
  <si>
    <t>Tuition Fee Per Semester (Inclusive of State Concession**)</t>
  </si>
  <si>
    <t>The below mentioned charges are the same for All India Candidates and State Candidates</t>
  </si>
  <si>
    <t>One Time Payable</t>
  </si>
  <si>
    <t>Admission Fee</t>
  </si>
  <si>
    <t>Enrolment Fee</t>
  </si>
  <si>
    <t>Caution Money (Refundable)</t>
  </si>
  <si>
    <t xml:space="preserve">Other Charges </t>
  </si>
  <si>
    <t>Examination Fee</t>
  </si>
  <si>
    <t>Library Fee</t>
  </si>
  <si>
    <t>Insurance Fee (per year)</t>
  </si>
  <si>
    <t>Students Welfare Fee</t>
  </si>
  <si>
    <t>Sport Fee</t>
  </si>
  <si>
    <t>Online Student Information</t>
  </si>
  <si>
    <t>PDP</t>
  </si>
  <si>
    <t xml:space="preserve">Total </t>
  </si>
  <si>
    <t xml:space="preserve">Yearly Payment </t>
  </si>
  <si>
    <t xml:space="preserve">Half Yearly Payment </t>
  </si>
  <si>
    <t>Scholarship for Wards of Defence personnel: 5%</t>
  </si>
  <si>
    <t>(12th PCM %)
&gt;=95 OR JEE Mains Percentile &gt;=99</t>
  </si>
  <si>
    <t>(12th  PCM %)
&gt;=90
&lt;95 OR JEE Mains Percentile &gt;=98.5&lt;99</t>
  </si>
  <si>
    <t>(12th  PCM %)
&gt;=85
&lt;90 OR JEE Mains Percentile &gt;=97&lt;98.5</t>
  </si>
  <si>
    <t>(12th  PCM %)
&gt;=80
&lt;85 OR JEE Mains Percentile &gt;=94&lt;97</t>
  </si>
  <si>
    <t>(12th Agg. %) &gt;=95</t>
  </si>
  <si>
    <t>(12th  Agg. %) &gt;=90 and &lt;95</t>
  </si>
  <si>
    <t>(12th  Agg. %) &gt;=85 and &lt;90</t>
  </si>
  <si>
    <t>(12th  Agg. %) &gt;=80 and &lt;85</t>
  </si>
  <si>
    <t>(12th Agg. %) &gt;=75 and &lt;80</t>
  </si>
  <si>
    <t>(12th Agg. %)&gt;=70 &amp; &lt;75</t>
  </si>
  <si>
    <t>* An additional fee of Rs. 22000/- is applicable per semester from 1st semester onwards for ACCA.</t>
  </si>
  <si>
    <t>* An additional fee of Rs. 17000/- is applicable per semester from 1st semester onwards for CMA.</t>
  </si>
  <si>
    <t>(12th  PCM %) &gt;=75
&lt;80 OR JEE Mains Percentile &lt;94</t>
  </si>
  <si>
    <r>
      <t>1</t>
    </r>
    <r>
      <rPr>
        <b/>
        <vertAlign val="superscript"/>
        <sz val="9"/>
        <color theme="1"/>
        <rFont val="Roboto"/>
      </rPr>
      <t>st</t>
    </r>
    <r>
      <rPr>
        <b/>
        <sz val="9"/>
        <color theme="1"/>
        <rFont val="Roboto"/>
      </rPr>
      <t xml:space="preserve"> Year
Payment Options</t>
    </r>
  </si>
  <si>
    <r>
      <t>2</t>
    </r>
    <r>
      <rPr>
        <b/>
        <vertAlign val="superscript"/>
        <sz val="9"/>
        <color theme="1"/>
        <rFont val="Roboto"/>
      </rPr>
      <t>nd</t>
    </r>
    <r>
      <rPr>
        <b/>
        <sz val="9"/>
        <color theme="1"/>
        <rFont val="Roboto"/>
      </rPr>
      <t xml:space="preserve"> Year
Payment Options</t>
    </r>
  </si>
  <si>
    <r>
      <t>3</t>
    </r>
    <r>
      <rPr>
        <b/>
        <vertAlign val="superscript"/>
        <sz val="9"/>
        <color theme="1"/>
        <rFont val="Roboto"/>
      </rPr>
      <t>rd</t>
    </r>
    <r>
      <rPr>
        <b/>
        <sz val="9"/>
        <color theme="1"/>
        <rFont val="Roboto"/>
      </rPr>
      <t xml:space="preserve"> Year
Payment Options</t>
    </r>
  </si>
  <si>
    <r>
      <t>4</t>
    </r>
    <r>
      <rPr>
        <b/>
        <vertAlign val="superscript"/>
        <sz val="9"/>
        <color theme="1"/>
        <rFont val="Roboto"/>
      </rPr>
      <t>th</t>
    </r>
    <r>
      <rPr>
        <b/>
        <sz val="9"/>
        <color theme="1"/>
        <rFont val="Roboto"/>
      </rPr>
      <t xml:space="preserve"> Year
Payment Options</t>
    </r>
  </si>
  <si>
    <t>(12th  PCM %) &gt;=70
&lt;75 OR JEE Mains Percentile &lt;94</t>
  </si>
  <si>
    <t>Yearly Payment  (5% Discount)</t>
  </si>
  <si>
    <t>Half Yearly Payment</t>
  </si>
  <si>
    <r>
      <t>Diversity Scholarship</t>
    </r>
    <r>
      <rPr>
        <b/>
        <vertAlign val="superscript"/>
        <sz val="9"/>
        <color theme="1"/>
        <rFont val="Roboto"/>
      </rPr>
      <t>#</t>
    </r>
  </si>
  <si>
    <t>#10% seats of All India quota are reserved for diversity scholarship having  70% and above in 12th</t>
  </si>
  <si>
    <t>*50% seats are reserved for Uttarakhand candidates, state concession on tuition fee will be applicable on these 50% seats only.</t>
  </si>
  <si>
    <t>*State Concession is a Special Fee Concession applicable to candidates from the Hilly States of India on the basis of merit. A student carrying a domicile from these states/or who has completed his 10th &amp; 12th from these states is eligible for this consession - the states included in this list are: Uttarakhand, Himachal Pradesh, Jammu Kashmir, Sikkim, Arunachal Pradesh, Manipur, Assam, Meghalaya, Mizoram, Tripura and Arunachal Pradesh.</t>
  </si>
  <si>
    <t>Graduation % &gt;=80</t>
  </si>
  <si>
    <t>Graduation % &gt;=75 and  &lt;80</t>
  </si>
  <si>
    <t>Graduation % &gt;=70 and  &lt;75</t>
  </si>
  <si>
    <t>Graduation % &gt;=60 and &lt;65</t>
  </si>
  <si>
    <r>
      <t>4</t>
    </r>
    <r>
      <rPr>
        <b/>
        <vertAlign val="superscript"/>
        <sz val="9"/>
        <color theme="1"/>
        <rFont val="Roboto"/>
      </rPr>
      <t>th</t>
    </r>
    <r>
      <rPr>
        <b/>
        <sz val="9"/>
        <color theme="1"/>
        <rFont val="Roboto"/>
      </rPr>
      <t xml:space="preserve"> Year
Payment Options
</t>
    </r>
  </si>
  <si>
    <t>(12th Agg. %) &gt;=80</t>
  </si>
  <si>
    <t>(12th  Agg. %) &gt;=75 and &lt;80</t>
  </si>
  <si>
    <t>(12th  Agg. %) &gt;=70 and &lt;75</t>
  </si>
  <si>
    <t>(12th  Agg. %) &gt;=65 and &lt;70</t>
  </si>
  <si>
    <r>
      <t>1</t>
    </r>
    <r>
      <rPr>
        <b/>
        <vertAlign val="superscript"/>
        <sz val="14"/>
        <color theme="1"/>
        <rFont val="Roboto"/>
      </rPr>
      <t>st</t>
    </r>
    <r>
      <rPr>
        <b/>
        <sz val="14"/>
        <color theme="1"/>
        <rFont val="Roboto"/>
      </rPr>
      <t xml:space="preserve"> Year
Payment Options</t>
    </r>
  </si>
  <si>
    <r>
      <t>Diversity Scholarship</t>
    </r>
    <r>
      <rPr>
        <b/>
        <vertAlign val="superscript"/>
        <sz val="14"/>
        <color theme="1"/>
        <rFont val="Roboto"/>
      </rPr>
      <t>#</t>
    </r>
  </si>
  <si>
    <r>
      <t>2</t>
    </r>
    <r>
      <rPr>
        <b/>
        <vertAlign val="superscript"/>
        <sz val="14"/>
        <color theme="1"/>
        <rFont val="Roboto"/>
      </rPr>
      <t>nd</t>
    </r>
    <r>
      <rPr>
        <b/>
        <sz val="14"/>
        <color theme="1"/>
        <rFont val="Roboto"/>
      </rPr>
      <t xml:space="preserve"> Year
Payment Options</t>
    </r>
  </si>
  <si>
    <r>
      <t>3</t>
    </r>
    <r>
      <rPr>
        <b/>
        <vertAlign val="superscript"/>
        <sz val="14"/>
        <color theme="1"/>
        <rFont val="Roboto"/>
      </rPr>
      <t>rd</t>
    </r>
    <r>
      <rPr>
        <b/>
        <sz val="14"/>
        <color theme="1"/>
        <rFont val="Roboto"/>
      </rPr>
      <t xml:space="preserve"> Year
Payment Options</t>
    </r>
  </si>
  <si>
    <t>Tuition Fee Per Semester (Incl of State Concession**)</t>
  </si>
  <si>
    <t>**State Concession is a Special Fee Concession applicable to candidates from the Hilly States of India on the basis of merit. A student carrying a domicile from these states/or who has completed his 10th &amp; 12th from these states is eligible for this consession - the states included in this list are: Uttarakhand, Himachal Pradesh, Jammu Kashmir, Sikkim, Arunachal Pradesh, Manipur, Assam, Meghalaya, Mizoram, Tripura and Arunachal Pradesh.</t>
  </si>
  <si>
    <t>Graduation % &gt;=65 and &lt;70</t>
  </si>
  <si>
    <r>
      <t>1</t>
    </r>
    <r>
      <rPr>
        <b/>
        <vertAlign val="superscript"/>
        <sz val="14"/>
        <color rgb="FF000000"/>
        <rFont val="Roboto"/>
      </rPr>
      <t>st</t>
    </r>
    <r>
      <rPr>
        <b/>
        <sz val="14"/>
        <color rgb="FF000000"/>
        <rFont val="Roboto"/>
      </rPr>
      <t xml:space="preserve"> Year
Payment Options</t>
    </r>
  </si>
  <si>
    <r>
      <t>Diversity Scholarship</t>
    </r>
    <r>
      <rPr>
        <b/>
        <vertAlign val="superscript"/>
        <sz val="14"/>
        <color rgb="FF000000"/>
        <rFont val="Roboto"/>
      </rPr>
      <t>#</t>
    </r>
  </si>
  <si>
    <r>
      <t>2</t>
    </r>
    <r>
      <rPr>
        <b/>
        <vertAlign val="superscript"/>
        <sz val="14"/>
        <color rgb="FF000000"/>
        <rFont val="Roboto"/>
      </rPr>
      <t>nd</t>
    </r>
    <r>
      <rPr>
        <b/>
        <sz val="14"/>
        <color rgb="FF000000"/>
        <rFont val="Roboto"/>
      </rPr>
      <t xml:space="preserve"> Year
Payment Options</t>
    </r>
  </si>
  <si>
    <r>
      <t>3</t>
    </r>
    <r>
      <rPr>
        <b/>
        <vertAlign val="superscript"/>
        <sz val="14"/>
        <color rgb="FF000000"/>
        <rFont val="Roboto"/>
      </rPr>
      <t>rd</t>
    </r>
    <r>
      <rPr>
        <b/>
        <sz val="14"/>
        <color rgb="FF000000"/>
        <rFont val="Roboto"/>
      </rPr>
      <t xml:space="preserve"> Year
Payment Options</t>
    </r>
  </si>
  <si>
    <t>Transportation Fee</t>
  </si>
  <si>
    <t>(12th Agg. %)&gt;=60 &amp; &lt;70</t>
  </si>
  <si>
    <t>(12th Agg. %)
&gt;=60 &amp; &lt;70</t>
  </si>
  <si>
    <t>Rs. 5000/- sem for first 2 semesters is applicable for bridge course</t>
  </si>
  <si>
    <t>#Diversity scholarship for candidates having 60% - 69.99% in 12th will be Rs. 7500 per sem</t>
  </si>
  <si>
    <t>Other Charges^</t>
  </si>
  <si>
    <t>#Diversity scholarship for candidates having 60% - 69.99% in 12th will be Rs. 15500 per sem</t>
  </si>
  <si>
    <t>#Diversity scholarship for candidates having 60% - 69.99% in 12th will be Rs. 14500 per sem</t>
  </si>
  <si>
    <t>#Diversity scholarship for candidates having 60% - 69.99% in 12th will be Rs. 7000 per sem</t>
  </si>
  <si>
    <t>#Diversity scholarship for candidates having 60% - 69.99% in 12th will be Rs. 5000 per sem</t>
  </si>
  <si>
    <t>#Diversity scholarship for candidates having 60% - 69.99% in 12th will be Rs. 12500 per sem</t>
  </si>
  <si>
    <t>#Diversity scholarship for candidates having 60% - 69.99% in 12th will be Rs. 11500 per sem</t>
  </si>
  <si>
    <t>#Diversity scholarship for candidates having 60% - 69.99% in 12th will be Rs. 8500 per sem</t>
  </si>
  <si>
    <t>Master of Business Administration</t>
  </si>
  <si>
    <t>Fee Structure Applicable for Intake 2025                                                                                                                                                                                                                                                                                                                 MBA</t>
  </si>
  <si>
    <t>B.Tech Computer Science and Engineering</t>
  </si>
  <si>
    <t>Bachelor of Commerce</t>
  </si>
  <si>
    <t>Bachelor of Commerce (Hons.)</t>
  </si>
  <si>
    <t>Becholar of Computer Applications in Artificial Intelligence &amp; Data Science</t>
  </si>
  <si>
    <t>Becholar of Computer Applications</t>
  </si>
  <si>
    <t xml:space="preserve">Fee Structure Applicable for Intake 2025
B.Tech CSE || B.Tech CSE with specialization in Cyber Security || B.Tech CSE with specialization in Machine Learning &amp; Artificial Intelligence || B.Tech CSE with specialization in Artificial Intelligence &amp; Data Science </t>
  </si>
  <si>
    <t>Fee Structure Applicable for Intake 2025
B.Com.</t>
  </si>
  <si>
    <t>Fee Structure Applicable for Intake 2025
B.Com. (Hons.)</t>
  </si>
  <si>
    <t>Fee Structure Applicable for Intake 2025
BCA AI &amp; DS</t>
  </si>
  <si>
    <t>Fee Structure Applicable for Intake 2025
BCA</t>
  </si>
  <si>
    <t>Becholar of Science in Information Technology</t>
  </si>
  <si>
    <t>Fee Structure Applicable for Intake 2025
B.Sc. IT</t>
  </si>
  <si>
    <t>Fee Structure Applicable for Intake 2025
MCA</t>
  </si>
  <si>
    <t>Master of Computer Applications</t>
  </si>
  <si>
    <t>Bachelor of Hotel Management</t>
  </si>
  <si>
    <t xml:space="preserve">Fee Structure Applicable for Intake 2025
BHM									
										</t>
  </si>
  <si>
    <t>Bachelor of Business Administration</t>
  </si>
  <si>
    <t>Fee Structure Applicable for Intake 2025
BBA / BBA CMA* / BBA ACCA*</t>
  </si>
  <si>
    <t>Bachelor of Journalism and Mass Communication</t>
  </si>
  <si>
    <t>Fee Structure Applicable for Intake 2025
BJMC</t>
  </si>
  <si>
    <t>Bachelor of Science in Animation and Gaming</t>
  </si>
  <si>
    <t>Fee Structure Applicable for Intake 2025
B.Sc. Animation &amp; Gaming</t>
  </si>
  <si>
    <t>Certificate in Hotel Management</t>
  </si>
  <si>
    <t>Fee Structure Applicable for Intake 2025                                                                                                                                                                                                                                                                    CHM</t>
  </si>
  <si>
    <t>Master of Technology in Computer Science and Engineering</t>
  </si>
  <si>
    <t>Fee Structure Applicable for Intake 2025                                                                                                                                                                                                                                                                                M.Tech CSE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</si>
</sst>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Roboto"/>
    </font>
    <font>
      <b/>
      <sz val="10"/>
      <color theme="1"/>
      <name val="Roboto"/>
    </font>
    <font>
      <b/>
      <sz val="9"/>
      <color theme="1"/>
      <name val="Roboto"/>
    </font>
    <font>
      <b/>
      <vertAlign val="superscript"/>
      <sz val="9"/>
      <color theme="1"/>
      <name val="Roboto"/>
    </font>
    <font>
      <sz val="9"/>
      <color theme="1"/>
      <name val="Roboto"/>
    </font>
    <font>
      <b/>
      <sz val="14"/>
      <color theme="1"/>
      <name val="Calibri"/>
      <family val="2"/>
      <scheme val="minor"/>
    </font>
    <font>
      <sz val="9"/>
      <color rgb="FF000000"/>
      <name val="Roboto"/>
    </font>
    <font>
      <sz val="9"/>
      <color rgb="FF000000"/>
      <name val="Roboto"/>
    </font>
    <font>
      <b/>
      <sz val="10"/>
      <color rgb="FF000000"/>
      <name val="Roboto"/>
    </font>
    <font>
      <b/>
      <sz val="14"/>
      <color theme="1"/>
      <name val="Roboto"/>
    </font>
    <font>
      <b/>
      <vertAlign val="superscript"/>
      <sz val="14"/>
      <color theme="1"/>
      <name val="Roboto"/>
    </font>
    <font>
      <sz val="12"/>
      <color theme="1"/>
      <name val="Roboto"/>
    </font>
    <font>
      <b/>
      <sz val="8"/>
      <color theme="1"/>
      <name val="NetflixSans"/>
    </font>
    <font>
      <b/>
      <sz val="14"/>
      <color rgb="FF000000"/>
      <name val="Roboto"/>
    </font>
    <font>
      <sz val="12"/>
      <color rgb="FF000000"/>
      <name val="Aptos Narrow"/>
      <family val="2"/>
    </font>
    <font>
      <b/>
      <sz val="12"/>
      <color rgb="FF000000"/>
      <name val="Roboto"/>
    </font>
    <font>
      <b/>
      <sz val="14"/>
      <color rgb="FF000000"/>
      <name val="Roboto"/>
    </font>
    <font>
      <b/>
      <vertAlign val="superscript"/>
      <sz val="14"/>
      <color rgb="FF000000"/>
      <name val="Roboto"/>
    </font>
    <font>
      <b/>
      <sz val="8"/>
      <color rgb="FF000000"/>
      <name val="NetflixSans"/>
    </font>
    <font>
      <b/>
      <sz val="14"/>
      <color rgb="FF000000"/>
      <name val="Aptos Narrow"/>
      <family val="2"/>
    </font>
    <font>
      <sz val="12"/>
      <color rgb="FF000000"/>
      <name val="Roboto"/>
    </font>
    <font>
      <b/>
      <sz val="12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99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EEEE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2C2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FDDDD"/>
        <bgColor rgb="FF000000"/>
      </patternFill>
    </fill>
    <fill>
      <patternFill patternType="solid">
        <fgColor rgb="FFFFC2C2"/>
        <bgColor rgb="FF000000"/>
      </patternFill>
    </fill>
    <fill>
      <patternFill patternType="solid">
        <fgColor rgb="FFFFA3A3"/>
        <bgColor rgb="FF000000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8">
    <xf numFmtId="0" fontId="0" fillId="0" borderId="0" xfId="0"/>
    <xf numFmtId="1" fontId="6" fillId="4" borderId="10" xfId="0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4" borderId="10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6" fillId="4" borderId="10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center" vertical="center"/>
    </xf>
    <xf numFmtId="1" fontId="0" fillId="0" borderId="0" xfId="0" applyNumberFormat="1"/>
    <xf numFmtId="0" fontId="6" fillId="4" borderId="6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 wrapText="1"/>
    </xf>
    <xf numFmtId="3" fontId="4" fillId="5" borderId="10" xfId="0" applyNumberFormat="1" applyFont="1" applyFill="1" applyBorder="1" applyAlignment="1">
      <alignment horizontal="center" vertical="center" wrapText="1"/>
    </xf>
    <xf numFmtId="3" fontId="6" fillId="4" borderId="10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3" fontId="4" fillId="5" borderId="1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left" vertical="center"/>
    </xf>
    <xf numFmtId="0" fontId="4" fillId="9" borderId="10" xfId="0" applyFont="1" applyFill="1" applyBorder="1" applyAlignment="1">
      <alignment horizontal="left" vertical="center"/>
    </xf>
    <xf numFmtId="0" fontId="4" fillId="10" borderId="10" xfId="0" applyFont="1" applyFill="1" applyBorder="1" applyAlignment="1">
      <alignment horizontal="left" vertical="center"/>
    </xf>
    <xf numFmtId="0" fontId="4" fillId="11" borderId="10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 wrapText="1"/>
    </xf>
    <xf numFmtId="0" fontId="4" fillId="5" borderId="10" xfId="0" applyFont="1" applyFill="1" applyBorder="1" applyAlignment="1">
      <alignment horizontal="left" vertical="center"/>
    </xf>
    <xf numFmtId="3" fontId="8" fillId="12" borderId="10" xfId="0" applyNumberFormat="1" applyFont="1" applyFill="1" applyBorder="1" applyAlignment="1">
      <alignment horizontal="center" vertical="center"/>
    </xf>
    <xf numFmtId="0" fontId="9" fillId="13" borderId="10" xfId="0" applyFont="1" applyFill="1" applyBorder="1" applyAlignment="1">
      <alignment horizontal="center" vertical="center"/>
    </xf>
    <xf numFmtId="0" fontId="9" fillId="13" borderId="6" xfId="0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1" fontId="4" fillId="9" borderId="10" xfId="0" applyNumberFormat="1" applyFont="1" applyFill="1" applyBorder="1" applyAlignment="1">
      <alignment horizontal="left" vertical="center"/>
    </xf>
    <xf numFmtId="1" fontId="4" fillId="9" borderId="10" xfId="0" applyNumberFormat="1" applyFont="1" applyFill="1" applyBorder="1" applyAlignment="1">
      <alignment horizontal="center" vertical="center"/>
    </xf>
    <xf numFmtId="1" fontId="4" fillId="10" borderId="10" xfId="0" applyNumberFormat="1" applyFont="1" applyFill="1" applyBorder="1" applyAlignment="1">
      <alignment horizontal="left" vertical="center"/>
    </xf>
    <xf numFmtId="1" fontId="4" fillId="10" borderId="10" xfId="0" applyNumberFormat="1" applyFont="1" applyFill="1" applyBorder="1" applyAlignment="1">
      <alignment horizontal="center" vertical="center"/>
    </xf>
    <xf numFmtId="1" fontId="4" fillId="11" borderId="10" xfId="0" applyNumberFormat="1" applyFont="1" applyFill="1" applyBorder="1" applyAlignment="1">
      <alignment horizontal="left" vertical="center"/>
    </xf>
    <xf numFmtId="1" fontId="4" fillId="11" borderId="10" xfId="0" applyNumberFormat="1" applyFont="1" applyFill="1" applyBorder="1" applyAlignment="1">
      <alignment horizontal="center" vertical="center"/>
    </xf>
    <xf numFmtId="1" fontId="4" fillId="4" borderId="10" xfId="0" applyNumberFormat="1" applyFont="1" applyFill="1" applyBorder="1" applyAlignment="1">
      <alignment horizontal="center" vertical="center"/>
    </xf>
    <xf numFmtId="0" fontId="0" fillId="0" borderId="18" xfId="0" applyBorder="1"/>
    <xf numFmtId="1" fontId="4" fillId="5" borderId="10" xfId="0" applyNumberFormat="1" applyFont="1" applyFill="1" applyBorder="1" applyAlignment="1">
      <alignment horizontal="center" vertical="center"/>
    </xf>
    <xf numFmtId="3" fontId="4" fillId="5" borderId="8" xfId="0" applyNumberFormat="1" applyFont="1" applyFill="1" applyBorder="1" applyAlignment="1">
      <alignment horizontal="center" vertical="center" wrapText="1"/>
    </xf>
    <xf numFmtId="1" fontId="9" fillId="13" borderId="10" xfId="0" applyNumberFormat="1" applyFont="1" applyFill="1" applyBorder="1" applyAlignment="1">
      <alignment horizontal="center" vertical="center"/>
    </xf>
    <xf numFmtId="1" fontId="9" fillId="13" borderId="18" xfId="0" applyNumberFormat="1" applyFont="1" applyFill="1" applyBorder="1" applyAlignment="1">
      <alignment horizontal="center" vertical="center"/>
    </xf>
    <xf numFmtId="1" fontId="9" fillId="13" borderId="2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left" vertical="center"/>
    </xf>
    <xf numFmtId="1" fontId="11" fillId="4" borderId="10" xfId="0" applyNumberFormat="1" applyFont="1" applyFill="1" applyBorder="1" applyAlignment="1">
      <alignment horizontal="center" vertical="center"/>
    </xf>
    <xf numFmtId="1" fontId="11" fillId="9" borderId="10" xfId="0" applyNumberFormat="1" applyFont="1" applyFill="1" applyBorder="1" applyAlignment="1">
      <alignment horizontal="left" vertical="center"/>
    </xf>
    <xf numFmtId="1" fontId="11" fillId="9" borderId="10" xfId="0" applyNumberFormat="1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left" vertical="center"/>
    </xf>
    <xf numFmtId="1" fontId="11" fillId="10" borderId="10" xfId="0" applyNumberFormat="1" applyFont="1" applyFill="1" applyBorder="1" applyAlignment="1">
      <alignment horizontal="left" vertical="center"/>
    </xf>
    <xf numFmtId="1" fontId="11" fillId="10" borderId="10" xfId="0" applyNumberFormat="1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left" vertical="center"/>
    </xf>
    <xf numFmtId="1" fontId="11" fillId="11" borderId="10" xfId="0" applyNumberFormat="1" applyFont="1" applyFill="1" applyBorder="1" applyAlignment="1">
      <alignment horizontal="left" vertical="center"/>
    </xf>
    <xf numFmtId="1" fontId="11" fillId="11" borderId="10" xfId="0" applyNumberFormat="1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left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 wrapText="1"/>
    </xf>
    <xf numFmtId="3" fontId="2" fillId="5" borderId="10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3" fontId="13" fillId="4" borderId="10" xfId="0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3" fontId="13" fillId="4" borderId="9" xfId="0" applyNumberFormat="1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3" fontId="9" fillId="14" borderId="12" xfId="0" applyNumberFormat="1" applyFont="1" applyFill="1" applyBorder="1" applyAlignment="1">
      <alignment horizontal="center" vertical="center"/>
    </xf>
    <xf numFmtId="3" fontId="9" fillId="14" borderId="1" xfId="0" applyNumberFormat="1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 wrapText="1"/>
    </xf>
    <xf numFmtId="3" fontId="11" fillId="5" borderId="10" xfId="0" applyNumberFormat="1" applyFont="1" applyFill="1" applyBorder="1" applyAlignment="1">
      <alignment horizontal="center" vertical="center" wrapText="1"/>
    </xf>
    <xf numFmtId="3" fontId="11" fillId="4" borderId="10" xfId="0" applyNumberFormat="1" applyFont="1" applyFill="1" applyBorder="1" applyAlignment="1">
      <alignment horizontal="center" vertical="center"/>
    </xf>
    <xf numFmtId="0" fontId="16" fillId="0" borderId="0" xfId="0" applyFont="1"/>
    <xf numFmtId="0" fontId="18" fillId="16" borderId="18" xfId="0" applyFont="1" applyFill="1" applyBorder="1" applyAlignment="1">
      <alignment horizontal="center" vertical="center" wrapText="1"/>
    </xf>
    <xf numFmtId="0" fontId="18" fillId="16" borderId="18" xfId="0" applyFont="1" applyFill="1" applyBorder="1" applyAlignment="1">
      <alignment horizontal="center" vertical="center"/>
    </xf>
    <xf numFmtId="0" fontId="18" fillId="13" borderId="12" xfId="0" applyFont="1" applyFill="1" applyBorder="1" applyAlignment="1">
      <alignment horizontal="left" vertical="center"/>
    </xf>
    <xf numFmtId="1" fontId="18" fillId="13" borderId="12" xfId="0" applyNumberFormat="1" applyFont="1" applyFill="1" applyBorder="1" applyAlignment="1">
      <alignment horizontal="center" vertical="center"/>
    </xf>
    <xf numFmtId="1" fontId="18" fillId="17" borderId="12" xfId="0" applyNumberFormat="1" applyFont="1" applyFill="1" applyBorder="1" applyAlignment="1">
      <alignment horizontal="left" vertical="center"/>
    </xf>
    <xf numFmtId="1" fontId="18" fillId="17" borderId="12" xfId="0" applyNumberFormat="1" applyFont="1" applyFill="1" applyBorder="1" applyAlignment="1">
      <alignment horizontal="center" vertical="center"/>
    </xf>
    <xf numFmtId="0" fontId="18" fillId="17" borderId="12" xfId="0" applyFont="1" applyFill="1" applyBorder="1" applyAlignment="1">
      <alignment horizontal="left" vertical="center"/>
    </xf>
    <xf numFmtId="1" fontId="16" fillId="0" borderId="0" xfId="0" applyNumberFormat="1" applyFont="1"/>
    <xf numFmtId="1" fontId="18" fillId="18" borderId="12" xfId="0" applyNumberFormat="1" applyFont="1" applyFill="1" applyBorder="1" applyAlignment="1">
      <alignment horizontal="left" vertical="center"/>
    </xf>
    <xf numFmtId="1" fontId="18" fillId="18" borderId="12" xfId="0" applyNumberFormat="1" applyFont="1" applyFill="1" applyBorder="1" applyAlignment="1">
      <alignment horizontal="center" vertical="center"/>
    </xf>
    <xf numFmtId="0" fontId="18" fillId="18" borderId="12" xfId="0" applyFont="1" applyFill="1" applyBorder="1" applyAlignment="1">
      <alignment horizontal="left" vertical="center"/>
    </xf>
    <xf numFmtId="1" fontId="18" fillId="19" borderId="12" xfId="0" applyNumberFormat="1" applyFont="1" applyFill="1" applyBorder="1" applyAlignment="1">
      <alignment horizontal="left" vertical="center"/>
    </xf>
    <xf numFmtId="1" fontId="18" fillId="19" borderId="12" xfId="0" applyNumberFormat="1" applyFont="1" applyFill="1" applyBorder="1" applyAlignment="1">
      <alignment horizontal="center" vertical="center"/>
    </xf>
    <xf numFmtId="0" fontId="18" fillId="19" borderId="12" xfId="0" applyFont="1" applyFill="1" applyBorder="1" applyAlignment="1">
      <alignment horizontal="left" vertical="center"/>
    </xf>
    <xf numFmtId="0" fontId="22" fillId="13" borderId="12" xfId="0" applyFont="1" applyFill="1" applyBorder="1" applyAlignment="1">
      <alignment horizontal="center" vertical="center"/>
    </xf>
    <xf numFmtId="0" fontId="22" fillId="13" borderId="7" xfId="0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 wrapText="1"/>
    </xf>
    <xf numFmtId="0" fontId="17" fillId="6" borderId="18" xfId="0" applyFont="1" applyFill="1" applyBorder="1" applyAlignment="1">
      <alignment horizontal="center" vertical="center" wrapText="1"/>
    </xf>
    <xf numFmtId="3" fontId="17" fillId="6" borderId="18" xfId="0" applyNumberFormat="1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/>
    </xf>
    <xf numFmtId="3" fontId="22" fillId="13" borderId="12" xfId="0" applyNumberFormat="1" applyFont="1" applyFill="1" applyBorder="1" applyAlignment="1">
      <alignment horizontal="center" vertical="center"/>
    </xf>
    <xf numFmtId="0" fontId="22" fillId="13" borderId="9" xfId="0" applyFont="1" applyFill="1" applyBorder="1" applyAlignment="1">
      <alignment horizontal="center" vertical="center"/>
    </xf>
    <xf numFmtId="3" fontId="22" fillId="13" borderId="9" xfId="0" applyNumberFormat="1" applyFont="1" applyFill="1" applyBorder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22" fillId="13" borderId="23" xfId="0" applyFont="1" applyFill="1" applyBorder="1" applyAlignment="1">
      <alignment horizontal="center" vertical="center"/>
    </xf>
    <xf numFmtId="0" fontId="0" fillId="0" borderId="10" xfId="0" applyBorder="1"/>
    <xf numFmtId="0" fontId="3" fillId="0" borderId="10" xfId="0" applyFont="1" applyBorder="1" applyAlignment="1">
      <alignment horizontal="left" vertical="center"/>
    </xf>
    <xf numFmtId="0" fontId="7" fillId="4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23" fillId="0" borderId="11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8" xfId="0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/>
    </xf>
    <xf numFmtId="0" fontId="4" fillId="4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21" xfId="0" applyBorder="1" applyAlignment="1">
      <alignment horizontal="center"/>
    </xf>
    <xf numFmtId="0" fontId="4" fillId="6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10" fillId="0" borderId="11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14" fillId="0" borderId="0" xfId="0" applyFont="1"/>
    <xf numFmtId="0" fontId="0" fillId="0" borderId="0" xfId="0"/>
    <xf numFmtId="0" fontId="10" fillId="0" borderId="10" xfId="0" applyFont="1" applyBorder="1" applyAlignment="1">
      <alignment horizontal="left" vertical="center"/>
    </xf>
    <xf numFmtId="0" fontId="11" fillId="4" borderId="10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left" vertical="center" wrapText="1"/>
    </xf>
    <xf numFmtId="0" fontId="13" fillId="4" borderId="10" xfId="0" applyFont="1" applyFill="1" applyBorder="1" applyAlignment="1">
      <alignment horizontal="left" vertical="center" wrapText="1"/>
    </xf>
    <xf numFmtId="0" fontId="13" fillId="4" borderId="6" xfId="0" applyFont="1" applyFill="1" applyBorder="1" applyAlignment="1">
      <alignment horizontal="left" vertical="center"/>
    </xf>
    <xf numFmtId="0" fontId="7" fillId="0" borderId="11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5" fillId="16" borderId="4" xfId="0" applyFont="1" applyFill="1" applyBorder="1" applyAlignment="1">
      <alignment horizontal="center" vertical="center" wrapText="1"/>
    </xf>
    <xf numFmtId="0" fontId="15" fillId="16" borderId="0" xfId="0" applyFont="1" applyFill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/>
    </xf>
    <xf numFmtId="0" fontId="21" fillId="13" borderId="3" xfId="0" applyFont="1" applyFill="1" applyBorder="1" applyAlignment="1">
      <alignment horizontal="center" vertical="center"/>
    </xf>
    <xf numFmtId="0" fontId="21" fillId="13" borderId="4" xfId="0" applyFont="1" applyFill="1" applyBorder="1" applyAlignment="1">
      <alignment horizontal="center" vertical="center"/>
    </xf>
    <xf numFmtId="0" fontId="21" fillId="13" borderId="0" xfId="0" applyFont="1" applyFill="1" applyAlignment="1">
      <alignment horizontal="center" vertical="center"/>
    </xf>
    <xf numFmtId="0" fontId="21" fillId="13" borderId="5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17" fillId="6" borderId="15" xfId="0" applyFont="1" applyFill="1" applyBorder="1" applyAlignment="1">
      <alignment horizontal="center" vertical="center"/>
    </xf>
    <xf numFmtId="0" fontId="17" fillId="6" borderId="24" xfId="0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/>
    </xf>
    <xf numFmtId="0" fontId="17" fillId="6" borderId="25" xfId="0" applyFont="1" applyFill="1" applyBorder="1" applyAlignment="1">
      <alignment horizontal="center" vertical="center"/>
    </xf>
    <xf numFmtId="0" fontId="17" fillId="6" borderId="19" xfId="0" applyFont="1" applyFill="1" applyBorder="1" applyAlignment="1">
      <alignment horizontal="center" vertical="center"/>
    </xf>
    <xf numFmtId="0" fontId="17" fillId="6" borderId="27" xfId="0" applyFont="1" applyFill="1" applyBorder="1" applyAlignment="1">
      <alignment horizontal="center" vertical="center"/>
    </xf>
    <xf numFmtId="0" fontId="22" fillId="13" borderId="28" xfId="0" applyFont="1" applyFill="1" applyBorder="1" applyAlignment="1">
      <alignment horizontal="left" vertical="center" wrapText="1"/>
    </xf>
    <xf numFmtId="0" fontId="22" fillId="13" borderId="18" xfId="0" applyFont="1" applyFill="1" applyBorder="1" applyAlignment="1">
      <alignment horizontal="left" vertical="center" wrapText="1"/>
    </xf>
    <xf numFmtId="0" fontId="22" fillId="13" borderId="28" xfId="0" applyFont="1" applyFill="1" applyBorder="1" applyAlignment="1">
      <alignment horizontal="left" vertical="center"/>
    </xf>
    <xf numFmtId="0" fontId="22" fillId="13" borderId="18" xfId="0" applyFont="1" applyFill="1" applyBorder="1" applyAlignment="1">
      <alignment horizontal="left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20" fillId="0" borderId="0" xfId="0" applyFont="1"/>
    <xf numFmtId="0" fontId="18" fillId="6" borderId="11" xfId="0" applyFont="1" applyFill="1" applyBorder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18" fillId="13" borderId="6" xfId="0" applyFont="1" applyFill="1" applyBorder="1" applyAlignment="1">
      <alignment horizontal="center" vertical="center" wrapText="1"/>
    </xf>
    <xf numFmtId="0" fontId="18" fillId="13" borderId="22" xfId="0" applyFont="1" applyFill="1" applyBorder="1" applyAlignment="1">
      <alignment horizontal="center" vertical="center" wrapText="1"/>
    </xf>
    <xf numFmtId="0" fontId="18" fillId="13" borderId="8" xfId="0" applyFont="1" applyFill="1" applyBorder="1" applyAlignment="1">
      <alignment horizontal="center" vertical="center" wrapText="1"/>
    </xf>
    <xf numFmtId="0" fontId="16" fillId="0" borderId="0" xfId="0" applyFont="1"/>
    <xf numFmtId="0" fontId="17" fillId="15" borderId="2" xfId="0" applyFont="1" applyFill="1" applyBorder="1" applyAlignment="1">
      <alignment horizontal="center" vertical="center" wrapText="1"/>
    </xf>
    <xf numFmtId="0" fontId="17" fillId="15" borderId="3" xfId="0" applyFont="1" applyFill="1" applyBorder="1" applyAlignment="1">
      <alignment horizontal="center" vertical="center" wrapText="1"/>
    </xf>
    <xf numFmtId="0" fontId="17" fillId="15" borderId="4" xfId="0" applyFont="1" applyFill="1" applyBorder="1" applyAlignment="1">
      <alignment horizontal="center" vertical="center" wrapText="1"/>
    </xf>
    <xf numFmtId="0" fontId="17" fillId="15" borderId="0" xfId="0" applyFont="1" applyFill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textRotation="90" wrapText="1"/>
    </xf>
    <xf numFmtId="0" fontId="11" fillId="3" borderId="22" xfId="0" applyFont="1" applyFill="1" applyBorder="1" applyAlignment="1">
      <alignment horizontal="center" vertical="center" textRotation="90" wrapText="1"/>
    </xf>
    <xf numFmtId="0" fontId="11" fillId="3" borderId="8" xfId="0" applyFont="1" applyFill="1" applyBorder="1" applyAlignment="1">
      <alignment horizontal="center" vertical="center" textRotation="90" wrapText="1"/>
    </xf>
    <xf numFmtId="0" fontId="11" fillId="6" borderId="15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4" borderId="10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 wrapText="1"/>
    </xf>
  </cellXfs>
  <cellStyles count="2">
    <cellStyle name="Comma 3" xfId="1" xr:uid="{C8C4C78B-AC3A-0744-8F96-B9C57E0B249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7C673-40D3-A34E-9F8B-4AD94AADC10C}">
  <dimension ref="A1:N43"/>
  <sheetViews>
    <sheetView zoomScale="61" zoomScaleNormal="61" workbookViewId="0">
      <selection activeCell="A2" sqref="A2:I2"/>
    </sheetView>
  </sheetViews>
  <sheetFormatPr defaultColWidth="8.85546875" defaultRowHeight="15.9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10" width="16.640625" customWidth="1"/>
  </cols>
  <sheetData>
    <row r="1" spans="1:13">
      <c r="A1" s="131" t="s">
        <v>90</v>
      </c>
      <c r="B1" s="131"/>
      <c r="C1" s="131"/>
      <c r="D1" s="131"/>
      <c r="E1" s="131"/>
      <c r="F1" s="131"/>
      <c r="G1" s="131"/>
      <c r="H1" s="131"/>
      <c r="I1" s="131"/>
    </row>
    <row r="2" spans="1:13" ht="49.3" customHeight="1">
      <c r="A2" s="134" t="s">
        <v>91</v>
      </c>
      <c r="B2" s="134"/>
      <c r="C2" s="134"/>
      <c r="D2" s="134"/>
      <c r="E2" s="134"/>
      <c r="F2" s="134"/>
      <c r="G2" s="134"/>
      <c r="H2" s="134"/>
      <c r="I2" s="134"/>
    </row>
    <row r="3" spans="1:13" ht="85.3" customHeight="1">
      <c r="A3" s="15" t="s">
        <v>1</v>
      </c>
      <c r="B3" s="16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5" t="s">
        <v>8</v>
      </c>
    </row>
    <row r="4" spans="1:13" ht="85.3" customHeight="1">
      <c r="A4" s="106" t="s">
        <v>0</v>
      </c>
      <c r="B4" s="107"/>
      <c r="C4" s="107"/>
      <c r="D4" s="107"/>
      <c r="E4" s="107"/>
      <c r="F4" s="107"/>
      <c r="G4" s="107"/>
      <c r="H4" s="108"/>
    </row>
    <row r="5" spans="1:13" ht="16" customHeight="1">
      <c r="A5" s="132" t="s">
        <v>46</v>
      </c>
      <c r="B5" s="8" t="s">
        <v>10</v>
      </c>
      <c r="C5" s="1">
        <v>135100</v>
      </c>
      <c r="D5" s="1">
        <f>C5</f>
        <v>135100</v>
      </c>
      <c r="E5" s="1">
        <f t="shared" ref="E5:H5" si="0">D5</f>
        <v>135100</v>
      </c>
      <c r="F5" s="1">
        <f t="shared" si="0"/>
        <v>135100</v>
      </c>
      <c r="G5" s="1">
        <f t="shared" si="0"/>
        <v>135100</v>
      </c>
      <c r="H5" s="1">
        <f t="shared" si="0"/>
        <v>135100</v>
      </c>
      <c r="I5" s="10"/>
      <c r="J5" s="10"/>
      <c r="K5" s="10"/>
      <c r="L5" s="10"/>
      <c r="M5" s="10"/>
    </row>
    <row r="6" spans="1:13">
      <c r="A6" s="133"/>
      <c r="B6" s="8" t="s">
        <v>11</v>
      </c>
      <c r="C6" s="1">
        <v>45000</v>
      </c>
      <c r="D6" s="1">
        <v>37000</v>
      </c>
      <c r="E6" s="1">
        <v>27000</v>
      </c>
      <c r="F6" s="1">
        <v>22000</v>
      </c>
      <c r="G6" s="1">
        <v>17000</v>
      </c>
      <c r="H6" s="1">
        <v>15000</v>
      </c>
    </row>
    <row r="7" spans="1:13">
      <c r="A7" s="133"/>
      <c r="B7" s="32" t="s">
        <v>53</v>
      </c>
      <c r="C7" s="33">
        <v>23500</v>
      </c>
      <c r="D7" s="33">
        <f>C7</f>
        <v>23500</v>
      </c>
      <c r="E7" s="33">
        <f t="shared" ref="E7:H7" si="1">D7</f>
        <v>23500</v>
      </c>
      <c r="F7" s="33">
        <f t="shared" si="1"/>
        <v>23500</v>
      </c>
      <c r="G7" s="33">
        <f t="shared" si="1"/>
        <v>23500</v>
      </c>
      <c r="H7" s="33">
        <f t="shared" si="1"/>
        <v>23500</v>
      </c>
    </row>
    <row r="8" spans="1:13">
      <c r="A8" s="133"/>
      <c r="B8" s="22" t="s">
        <v>51</v>
      </c>
      <c r="C8" s="33">
        <f>(((C5-C6)*0.95)*2)-C7*2</f>
        <v>124190</v>
      </c>
      <c r="D8" s="33">
        <f t="shared" ref="D8:H8" si="2">(((D5-D6)*0.95)*2)-D7*2</f>
        <v>139390</v>
      </c>
      <c r="E8" s="33">
        <f t="shared" si="2"/>
        <v>158390</v>
      </c>
      <c r="F8" s="33">
        <f t="shared" si="2"/>
        <v>167890</v>
      </c>
      <c r="G8" s="33">
        <f t="shared" si="2"/>
        <v>177390</v>
      </c>
      <c r="H8" s="33">
        <f t="shared" si="2"/>
        <v>181190</v>
      </c>
    </row>
    <row r="9" spans="1:13">
      <c r="A9" s="133"/>
      <c r="B9" s="22" t="s">
        <v>52</v>
      </c>
      <c r="C9" s="33">
        <f>(C5-C6)-C7</f>
        <v>66600</v>
      </c>
      <c r="D9" s="33">
        <f t="shared" ref="D9:H9" si="3">(D5-D6)-D7</f>
        <v>74600</v>
      </c>
      <c r="E9" s="33">
        <f t="shared" si="3"/>
        <v>84600</v>
      </c>
      <c r="F9" s="33">
        <f t="shared" si="3"/>
        <v>89600</v>
      </c>
      <c r="G9" s="33">
        <f t="shared" si="3"/>
        <v>94600</v>
      </c>
      <c r="H9" s="33">
        <f t="shared" si="3"/>
        <v>96600</v>
      </c>
    </row>
    <row r="10" spans="1:13" ht="16" customHeight="1">
      <c r="A10" s="132" t="s">
        <v>47</v>
      </c>
      <c r="B10" s="8" t="s">
        <v>12</v>
      </c>
      <c r="C10" s="1">
        <v>140200</v>
      </c>
      <c r="D10" s="1">
        <f t="shared" ref="D10:H10" si="4">C10</f>
        <v>140200</v>
      </c>
      <c r="E10" s="1">
        <f t="shared" si="4"/>
        <v>140200</v>
      </c>
      <c r="F10" s="1">
        <f t="shared" si="4"/>
        <v>140200</v>
      </c>
      <c r="G10" s="1">
        <f t="shared" si="4"/>
        <v>140200</v>
      </c>
      <c r="H10" s="1">
        <f t="shared" si="4"/>
        <v>140200</v>
      </c>
    </row>
    <row r="11" spans="1:13">
      <c r="A11" s="133"/>
      <c r="B11" s="8" t="s">
        <v>11</v>
      </c>
      <c r="C11" s="1">
        <f t="shared" ref="C11:H11" si="5">C6</f>
        <v>45000</v>
      </c>
      <c r="D11" s="1">
        <f t="shared" si="5"/>
        <v>37000</v>
      </c>
      <c r="E11" s="1">
        <f t="shared" si="5"/>
        <v>27000</v>
      </c>
      <c r="F11" s="1">
        <f t="shared" si="5"/>
        <v>22000</v>
      </c>
      <c r="G11" s="1">
        <f t="shared" si="5"/>
        <v>17000</v>
      </c>
      <c r="H11" s="1">
        <f t="shared" si="5"/>
        <v>15000</v>
      </c>
    </row>
    <row r="12" spans="1:13">
      <c r="A12" s="133"/>
      <c r="B12" s="34" t="s">
        <v>53</v>
      </c>
      <c r="C12" s="35">
        <f>C7</f>
        <v>23500</v>
      </c>
      <c r="D12" s="35">
        <f t="shared" ref="D12:H12" si="6">D7</f>
        <v>23500</v>
      </c>
      <c r="E12" s="35">
        <f t="shared" si="6"/>
        <v>23500</v>
      </c>
      <c r="F12" s="35">
        <f t="shared" si="6"/>
        <v>23500</v>
      </c>
      <c r="G12" s="35">
        <f t="shared" si="6"/>
        <v>23500</v>
      </c>
      <c r="H12" s="35">
        <f t="shared" si="6"/>
        <v>23500</v>
      </c>
    </row>
    <row r="13" spans="1:13">
      <c r="A13" s="133"/>
      <c r="B13" s="23" t="s">
        <v>51</v>
      </c>
      <c r="C13" s="35">
        <f>(((C10-C11)*0.95)*2)-C12*2</f>
        <v>133880</v>
      </c>
      <c r="D13" s="35">
        <f t="shared" ref="D13:H13" si="7">(((D10-D11)*0.95)*2)-D12*2</f>
        <v>149080</v>
      </c>
      <c r="E13" s="35">
        <f t="shared" si="7"/>
        <v>168080</v>
      </c>
      <c r="F13" s="35">
        <f t="shared" si="7"/>
        <v>177580</v>
      </c>
      <c r="G13" s="35">
        <f t="shared" si="7"/>
        <v>187080</v>
      </c>
      <c r="H13" s="35">
        <f t="shared" si="7"/>
        <v>190880</v>
      </c>
    </row>
    <row r="14" spans="1:13">
      <c r="A14" s="133"/>
      <c r="B14" s="23" t="s">
        <v>52</v>
      </c>
      <c r="C14" s="35">
        <f>(C10-C11)-C12</f>
        <v>71700</v>
      </c>
      <c r="D14" s="35">
        <f t="shared" ref="D14:H14" si="8">(D10-D11)-D12</f>
        <v>79700</v>
      </c>
      <c r="E14" s="35">
        <f t="shared" si="8"/>
        <v>89700</v>
      </c>
      <c r="F14" s="35">
        <f t="shared" si="8"/>
        <v>94700</v>
      </c>
      <c r="G14" s="35">
        <f t="shared" si="8"/>
        <v>99700</v>
      </c>
      <c r="H14" s="35">
        <f t="shared" si="8"/>
        <v>101700</v>
      </c>
    </row>
    <row r="15" spans="1:13">
      <c r="A15" s="128" t="s">
        <v>13</v>
      </c>
      <c r="B15" s="128"/>
      <c r="C15" s="35">
        <f t="shared" ref="C15:H15" si="9">SUM(C8,C13)</f>
        <v>258070</v>
      </c>
      <c r="D15" s="35">
        <f t="shared" si="9"/>
        <v>288470</v>
      </c>
      <c r="E15" s="35">
        <f t="shared" si="9"/>
        <v>326470</v>
      </c>
      <c r="F15" s="35">
        <f t="shared" si="9"/>
        <v>345470</v>
      </c>
      <c r="G15" s="35">
        <f t="shared" si="9"/>
        <v>364470</v>
      </c>
      <c r="H15" s="35">
        <f t="shared" si="9"/>
        <v>372070</v>
      </c>
    </row>
    <row r="16" spans="1:13">
      <c r="A16" s="37"/>
      <c r="B16" s="109" t="s">
        <v>14</v>
      </c>
      <c r="C16" s="110"/>
      <c r="D16" s="110"/>
      <c r="E16" s="110"/>
      <c r="F16" s="110"/>
      <c r="G16" s="110"/>
      <c r="H16" s="110"/>
      <c r="I16" s="111"/>
    </row>
    <row r="17" spans="1:14" ht="26.05" customHeight="1">
      <c r="A17" s="132" t="s">
        <v>46</v>
      </c>
      <c r="B17" s="8" t="s">
        <v>15</v>
      </c>
      <c r="C17" s="1">
        <f>C5*0.75</f>
        <v>101325</v>
      </c>
      <c r="D17" s="1">
        <f t="shared" ref="D17:H17" si="10">C17</f>
        <v>101325</v>
      </c>
      <c r="E17" s="1">
        <f t="shared" si="10"/>
        <v>101325</v>
      </c>
      <c r="F17" s="1">
        <f t="shared" si="10"/>
        <v>101325</v>
      </c>
      <c r="G17" s="1">
        <f t="shared" si="10"/>
        <v>101325</v>
      </c>
      <c r="H17" s="1">
        <f t="shared" si="10"/>
        <v>101325</v>
      </c>
    </row>
    <row r="18" spans="1:14">
      <c r="A18" s="133"/>
      <c r="B18" s="8" t="s">
        <v>11</v>
      </c>
      <c r="C18" s="1">
        <v>45000</v>
      </c>
      <c r="D18" s="1">
        <v>37000</v>
      </c>
      <c r="E18" s="1">
        <v>27000</v>
      </c>
      <c r="F18" s="1">
        <v>22000</v>
      </c>
      <c r="G18" s="1">
        <v>17000</v>
      </c>
      <c r="H18" s="1">
        <v>15000</v>
      </c>
    </row>
    <row r="19" spans="1:14">
      <c r="A19" s="133"/>
      <c r="B19" s="32" t="s">
        <v>51</v>
      </c>
      <c r="C19" s="33">
        <f>((C17-C18)*0.95)*2</f>
        <v>107017.5</v>
      </c>
      <c r="D19" s="33">
        <f t="shared" ref="D19" si="11">((D17-D18)*0.95)*2</f>
        <v>122217.5</v>
      </c>
      <c r="E19" s="33">
        <f t="shared" ref="E19" si="12">((E17-E18)*0.95)*2</f>
        <v>141217.5</v>
      </c>
      <c r="F19" s="33">
        <f t="shared" ref="F19" si="13">((F17-F18)*0.95)*2</f>
        <v>150717.5</v>
      </c>
      <c r="G19" s="33">
        <f t="shared" ref="G19" si="14">((G17-G18)*0.95)*2</f>
        <v>160217.5</v>
      </c>
      <c r="H19" s="33">
        <f t="shared" ref="H19" si="15">((H17-H18)*0.95)*2</f>
        <v>164017.5</v>
      </c>
      <c r="I19" s="10"/>
      <c r="J19" s="10"/>
      <c r="K19" s="10"/>
      <c r="L19" s="10"/>
      <c r="M19" s="10"/>
      <c r="N19" s="10"/>
    </row>
    <row r="20" spans="1:14">
      <c r="A20" s="133"/>
      <c r="B20" s="22" t="s">
        <v>52</v>
      </c>
      <c r="C20" s="33">
        <f>(C17-C18)</f>
        <v>56325</v>
      </c>
      <c r="D20" s="33">
        <f t="shared" ref="D20:H20" si="16">(D17-D18)</f>
        <v>64325</v>
      </c>
      <c r="E20" s="33">
        <f t="shared" si="16"/>
        <v>74325</v>
      </c>
      <c r="F20" s="33">
        <f t="shared" si="16"/>
        <v>79325</v>
      </c>
      <c r="G20" s="33">
        <f t="shared" si="16"/>
        <v>84325</v>
      </c>
      <c r="H20" s="33">
        <f t="shared" si="16"/>
        <v>86325</v>
      </c>
      <c r="I20" s="10"/>
      <c r="J20" s="10"/>
      <c r="K20" s="10"/>
      <c r="L20" s="10"/>
      <c r="M20" s="10"/>
      <c r="N20" s="10"/>
    </row>
    <row r="21" spans="1:14">
      <c r="A21" s="132" t="s">
        <v>47</v>
      </c>
      <c r="B21" s="8" t="s">
        <v>15</v>
      </c>
      <c r="C21" s="1">
        <f>C10*0.75</f>
        <v>105150</v>
      </c>
      <c r="D21" s="1">
        <f t="shared" ref="D21:H21" si="17">C21</f>
        <v>105150</v>
      </c>
      <c r="E21" s="1">
        <f t="shared" si="17"/>
        <v>105150</v>
      </c>
      <c r="F21" s="1">
        <f t="shared" si="17"/>
        <v>105150</v>
      </c>
      <c r="G21" s="1">
        <f t="shared" si="17"/>
        <v>105150</v>
      </c>
      <c r="H21" s="1">
        <f t="shared" si="17"/>
        <v>105150</v>
      </c>
    </row>
    <row r="22" spans="1:14">
      <c r="A22" s="133"/>
      <c r="B22" s="8" t="s">
        <v>11</v>
      </c>
      <c r="C22" s="1">
        <f t="shared" ref="C22:H22" si="18">C18</f>
        <v>45000</v>
      </c>
      <c r="D22" s="1">
        <f t="shared" si="18"/>
        <v>37000</v>
      </c>
      <c r="E22" s="1">
        <f t="shared" si="18"/>
        <v>27000</v>
      </c>
      <c r="F22" s="1">
        <f t="shared" si="18"/>
        <v>22000</v>
      </c>
      <c r="G22" s="1">
        <f t="shared" si="18"/>
        <v>17000</v>
      </c>
      <c r="H22" s="1">
        <f t="shared" si="18"/>
        <v>15000</v>
      </c>
    </row>
    <row r="23" spans="1:14">
      <c r="A23" s="133"/>
      <c r="B23" s="34" t="s">
        <v>51</v>
      </c>
      <c r="C23" s="35">
        <f>((C21-C22)*0.95)*2</f>
        <v>114285</v>
      </c>
      <c r="D23" s="35">
        <f t="shared" ref="D23" si="19">((D21-D22)*0.95)*2</f>
        <v>129485</v>
      </c>
      <c r="E23" s="35">
        <f t="shared" ref="E23" si="20">((E21-E22)*0.95)*2</f>
        <v>148485</v>
      </c>
      <c r="F23" s="35">
        <f t="shared" ref="F23" si="21">((F21-F22)*0.95)*2</f>
        <v>157985</v>
      </c>
      <c r="G23" s="35">
        <f t="shared" ref="G23" si="22">((G21-G22)*0.95)*2</f>
        <v>167485</v>
      </c>
      <c r="H23" s="35">
        <f t="shared" ref="H23" si="23">((H21-H22)*0.95)*2</f>
        <v>171285</v>
      </c>
    </row>
    <row r="24" spans="1:14">
      <c r="A24" s="133"/>
      <c r="B24" s="23" t="s">
        <v>52</v>
      </c>
      <c r="C24" s="35">
        <f>(C21-C22)</f>
        <v>60150</v>
      </c>
      <c r="D24" s="35">
        <f t="shared" ref="D24:H24" si="24">(D21-D22)</f>
        <v>68150</v>
      </c>
      <c r="E24" s="35">
        <f t="shared" si="24"/>
        <v>78150</v>
      </c>
      <c r="F24" s="35">
        <f t="shared" si="24"/>
        <v>83150</v>
      </c>
      <c r="G24" s="35">
        <f t="shared" si="24"/>
        <v>88150</v>
      </c>
      <c r="H24" s="35">
        <f t="shared" si="24"/>
        <v>90150</v>
      </c>
    </row>
    <row r="25" spans="1:14" ht="16" customHeight="1">
      <c r="A25" s="128" t="s">
        <v>13</v>
      </c>
      <c r="B25" s="128"/>
      <c r="C25" s="35">
        <f t="shared" ref="C25:H25" si="25">SUM(C19,C23)</f>
        <v>221302.5</v>
      </c>
      <c r="D25" s="35">
        <f t="shared" si="25"/>
        <v>251702.5</v>
      </c>
      <c r="E25" s="35">
        <f t="shared" si="25"/>
        <v>289702.5</v>
      </c>
      <c r="F25" s="35">
        <f t="shared" si="25"/>
        <v>308702.5</v>
      </c>
      <c r="G25" s="35">
        <f t="shared" si="25"/>
        <v>327702.5</v>
      </c>
      <c r="H25" s="35">
        <f t="shared" si="25"/>
        <v>335302.5</v>
      </c>
    </row>
    <row r="26" spans="1:14">
      <c r="A26" s="105" t="s">
        <v>16</v>
      </c>
      <c r="B26" s="105"/>
      <c r="C26" s="105"/>
      <c r="D26" s="105"/>
      <c r="E26" s="105"/>
      <c r="F26" s="105"/>
      <c r="G26" s="105"/>
      <c r="H26" s="105"/>
      <c r="I26" s="105"/>
    </row>
    <row r="27" spans="1:14">
      <c r="A27" s="105"/>
      <c r="B27" s="105"/>
      <c r="C27" s="105"/>
      <c r="D27" s="105"/>
      <c r="E27" s="105"/>
      <c r="F27" s="105"/>
      <c r="G27" s="105"/>
      <c r="H27" s="105"/>
      <c r="I27" s="105"/>
    </row>
    <row r="28" spans="1:14" ht="16" customHeight="1">
      <c r="A28" s="105"/>
      <c r="B28" s="105"/>
      <c r="C28" s="105"/>
      <c r="D28" s="105"/>
      <c r="E28" s="105"/>
      <c r="F28" s="105"/>
      <c r="G28" s="105"/>
      <c r="H28" s="105"/>
      <c r="I28" s="105"/>
    </row>
    <row r="29" spans="1:14" ht="16" customHeight="1">
      <c r="A29" s="121" t="s">
        <v>17</v>
      </c>
      <c r="B29" s="122"/>
      <c r="C29" s="118" t="s">
        <v>18</v>
      </c>
      <c r="D29" s="118"/>
      <c r="E29" s="2">
        <v>15000</v>
      </c>
      <c r="F29" s="112"/>
      <c r="G29" s="113"/>
      <c r="H29" s="113"/>
      <c r="I29" s="113"/>
    </row>
    <row r="30" spans="1:14" ht="17.05" customHeight="1">
      <c r="A30" s="123"/>
      <c r="B30" s="124"/>
      <c r="C30" s="119" t="s">
        <v>19</v>
      </c>
      <c r="D30" s="119"/>
      <c r="E30" s="5">
        <v>3000</v>
      </c>
      <c r="F30" s="114"/>
      <c r="G30" s="115"/>
      <c r="H30" s="115"/>
      <c r="I30" s="115"/>
    </row>
    <row r="31" spans="1:14" ht="16.3" thickBot="1">
      <c r="A31" s="125"/>
      <c r="B31" s="126"/>
      <c r="C31" s="120" t="s">
        <v>20</v>
      </c>
      <c r="D31" s="120"/>
      <c r="E31" s="11">
        <v>5000</v>
      </c>
      <c r="F31" s="116"/>
      <c r="G31" s="117"/>
      <c r="H31" s="117"/>
      <c r="I31" s="117"/>
    </row>
    <row r="32" spans="1:14">
      <c r="A32" s="127" t="s">
        <v>82</v>
      </c>
      <c r="B32" s="127"/>
      <c r="C32" s="128" t="s">
        <v>30</v>
      </c>
      <c r="D32" s="128"/>
      <c r="E32" s="8">
        <v>18500</v>
      </c>
      <c r="F32" s="115"/>
      <c r="G32" s="115"/>
      <c r="H32" s="115"/>
      <c r="I32" s="129"/>
    </row>
    <row r="33" spans="1:9">
      <c r="A33" s="127"/>
      <c r="B33" s="127"/>
      <c r="C33" s="128" t="s">
        <v>31</v>
      </c>
      <c r="D33" s="128"/>
      <c r="E33" s="8">
        <v>9750</v>
      </c>
      <c r="F33" s="117"/>
      <c r="G33" s="117"/>
      <c r="H33" s="117"/>
      <c r="I33" s="130"/>
    </row>
    <row r="34" spans="1:9" ht="46" customHeight="1">
      <c r="A34" s="12" t="s">
        <v>21</v>
      </c>
      <c r="B34" s="12" t="s">
        <v>22</v>
      </c>
      <c r="C34" s="13" t="s">
        <v>23</v>
      </c>
      <c r="D34" s="13" t="s">
        <v>24</v>
      </c>
      <c r="E34" s="13" t="s">
        <v>25</v>
      </c>
      <c r="F34" s="13" t="s">
        <v>26</v>
      </c>
      <c r="G34" s="12" t="s">
        <v>27</v>
      </c>
      <c r="H34" s="12" t="s">
        <v>28</v>
      </c>
      <c r="I34" s="12" t="s">
        <v>29</v>
      </c>
    </row>
    <row r="35" spans="1:9" ht="16" customHeight="1">
      <c r="A35" s="9" t="s">
        <v>30</v>
      </c>
      <c r="B35" s="5">
        <f>B36*2</f>
        <v>7000</v>
      </c>
      <c r="C35" s="5">
        <f t="shared" ref="C35:H35" si="26">C36*2</f>
        <v>5000</v>
      </c>
      <c r="D35" s="5">
        <v>1000</v>
      </c>
      <c r="E35" s="5">
        <f t="shared" si="26"/>
        <v>1500</v>
      </c>
      <c r="F35" s="5">
        <f t="shared" si="26"/>
        <v>1000</v>
      </c>
      <c r="G35" s="5">
        <f t="shared" si="26"/>
        <v>1000</v>
      </c>
      <c r="H35" s="5">
        <f t="shared" si="26"/>
        <v>4000</v>
      </c>
      <c r="I35" s="5">
        <f>SUM(B35:H35)</f>
        <v>20500</v>
      </c>
    </row>
    <row r="36" spans="1:9" ht="23.05" customHeight="1">
      <c r="A36" s="9" t="s">
        <v>31</v>
      </c>
      <c r="B36" s="5">
        <v>3500</v>
      </c>
      <c r="C36" s="5">
        <v>2500</v>
      </c>
      <c r="D36" s="14">
        <v>1000</v>
      </c>
      <c r="E36" s="14">
        <v>750</v>
      </c>
      <c r="F36" s="14">
        <v>500</v>
      </c>
      <c r="G36" s="5">
        <v>500</v>
      </c>
      <c r="H36" s="5">
        <v>2000</v>
      </c>
      <c r="I36" s="5">
        <f>SUM(B36:H36)</f>
        <v>10750</v>
      </c>
    </row>
    <row r="37" spans="1:9">
      <c r="A37" s="104" t="s">
        <v>54</v>
      </c>
      <c r="B37" s="104"/>
      <c r="C37" s="104"/>
      <c r="D37" s="104"/>
      <c r="E37" s="104"/>
      <c r="F37" s="104"/>
      <c r="G37" s="104"/>
      <c r="H37" s="104"/>
      <c r="I37" s="104"/>
    </row>
    <row r="38" spans="1:9">
      <c r="A38" s="104" t="s">
        <v>55</v>
      </c>
      <c r="B38" s="104"/>
      <c r="C38" s="104"/>
      <c r="D38" s="104"/>
      <c r="E38" s="104"/>
      <c r="F38" s="104"/>
      <c r="G38" s="104"/>
      <c r="H38" s="104"/>
      <c r="I38" s="104"/>
    </row>
    <row r="39" spans="1:9" ht="46" customHeight="1">
      <c r="A39" s="104" t="s">
        <v>56</v>
      </c>
      <c r="B39" s="104"/>
      <c r="C39" s="104"/>
      <c r="D39" s="104"/>
      <c r="E39" s="104"/>
      <c r="F39" s="104"/>
      <c r="G39" s="104"/>
      <c r="H39" s="104"/>
      <c r="I39" s="104"/>
    </row>
    <row r="40" spans="1:9" ht="13.5" customHeight="1">
      <c r="A40" s="104" t="s">
        <v>32</v>
      </c>
      <c r="B40" s="104"/>
      <c r="C40" s="104"/>
      <c r="D40" s="104"/>
      <c r="E40" s="104"/>
      <c r="F40" s="104"/>
      <c r="G40" s="104"/>
      <c r="H40" s="104"/>
      <c r="I40" s="104"/>
    </row>
    <row r="41" spans="1:9">
      <c r="A41" s="104" t="s">
        <v>83</v>
      </c>
      <c r="B41" s="104"/>
      <c r="C41" s="104"/>
      <c r="D41" s="104"/>
      <c r="E41" s="104"/>
      <c r="F41" s="104"/>
      <c r="G41" s="104"/>
      <c r="H41" s="104"/>
      <c r="I41" s="104"/>
    </row>
    <row r="42" spans="1:9" ht="28.75" customHeight="1">
      <c r="A42" s="104" t="s">
        <v>9</v>
      </c>
      <c r="B42" s="104"/>
      <c r="C42" s="104"/>
      <c r="D42" s="104"/>
      <c r="E42" s="104"/>
      <c r="F42" s="104"/>
      <c r="G42" s="104"/>
      <c r="H42" s="104"/>
      <c r="I42" s="104"/>
    </row>
    <row r="43" spans="1:9" ht="39" customHeight="1"/>
  </sheetData>
  <mergeCells count="26">
    <mergeCell ref="A1:I1"/>
    <mergeCell ref="A5:A9"/>
    <mergeCell ref="A10:A14"/>
    <mergeCell ref="A15:B15"/>
    <mergeCell ref="A2:I2"/>
    <mergeCell ref="A4:H4"/>
    <mergeCell ref="B16:I16"/>
    <mergeCell ref="A37:I37"/>
    <mergeCell ref="A38:I38"/>
    <mergeCell ref="F29:I31"/>
    <mergeCell ref="C29:D29"/>
    <mergeCell ref="C30:D30"/>
    <mergeCell ref="C31:D31"/>
    <mergeCell ref="A29:B31"/>
    <mergeCell ref="A32:B33"/>
    <mergeCell ref="C32:D32"/>
    <mergeCell ref="F32:I33"/>
    <mergeCell ref="C33:D33"/>
    <mergeCell ref="A17:A20"/>
    <mergeCell ref="A21:A24"/>
    <mergeCell ref="A25:B25"/>
    <mergeCell ref="A42:I42"/>
    <mergeCell ref="A41:I41"/>
    <mergeCell ref="A26:I28"/>
    <mergeCell ref="A39:I39"/>
    <mergeCell ref="A40:I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73C24-9A2D-AB4B-9F78-A06C4E7A6210}">
  <dimension ref="A1:X60"/>
  <sheetViews>
    <sheetView zoomScale="53" workbookViewId="0">
      <selection activeCell="A3" sqref="A3"/>
    </sheetView>
  </sheetViews>
  <sheetFormatPr defaultColWidth="8.85546875" defaultRowHeight="15.9"/>
  <cols>
    <col min="1" max="1" width="17.35546875" customWidth="1"/>
    <col min="2" max="2" width="23" bestFit="1" customWidth="1"/>
    <col min="3" max="3" width="21.7109375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9" width="16.640625" customWidth="1"/>
  </cols>
  <sheetData>
    <row r="1" spans="1:24">
      <c r="A1" s="138" t="s">
        <v>92</v>
      </c>
      <c r="B1" s="138"/>
      <c r="C1" s="138"/>
      <c r="D1" s="138"/>
      <c r="E1" s="138"/>
      <c r="F1" s="138"/>
      <c r="G1" s="138"/>
      <c r="H1" s="138"/>
    </row>
    <row r="2" spans="1:24" ht="48.9" customHeight="1">
      <c r="A2" s="134" t="s">
        <v>97</v>
      </c>
      <c r="B2" s="134"/>
      <c r="C2" s="134"/>
      <c r="D2" s="134"/>
      <c r="E2" s="134"/>
      <c r="F2" s="134"/>
      <c r="G2" s="134"/>
      <c r="H2" s="134"/>
    </row>
    <row r="3" spans="1:24" ht="48.9" customHeight="1">
      <c r="A3" s="15" t="s">
        <v>1</v>
      </c>
      <c r="B3" s="16" t="s">
        <v>2</v>
      </c>
      <c r="C3" s="15" t="s">
        <v>33</v>
      </c>
      <c r="D3" s="15" t="s">
        <v>34</v>
      </c>
      <c r="E3" s="15" t="s">
        <v>35</v>
      </c>
      <c r="F3" s="15" t="s">
        <v>36</v>
      </c>
      <c r="G3" s="15" t="s">
        <v>45</v>
      </c>
      <c r="H3" s="15" t="s">
        <v>50</v>
      </c>
    </row>
    <row r="4" spans="1:24" ht="48.9" customHeight="1">
      <c r="A4" s="15"/>
      <c r="B4" s="135" t="s">
        <v>0</v>
      </c>
      <c r="C4" s="136"/>
      <c r="D4" s="136"/>
      <c r="E4" s="136"/>
      <c r="F4" s="136"/>
      <c r="G4" s="136"/>
      <c r="H4" s="137"/>
    </row>
    <row r="5" spans="1:24">
      <c r="A5" s="132" t="s">
        <v>46</v>
      </c>
      <c r="B5" s="8" t="s">
        <v>10</v>
      </c>
      <c r="C5" s="1">
        <v>167100</v>
      </c>
      <c r="D5" s="1">
        <f>C5</f>
        <v>167100</v>
      </c>
      <c r="E5" s="1">
        <f t="shared" ref="E5:H5" si="0">D5</f>
        <v>167100</v>
      </c>
      <c r="F5" s="1">
        <f t="shared" si="0"/>
        <v>167100</v>
      </c>
      <c r="G5" s="1">
        <f t="shared" si="0"/>
        <v>167100</v>
      </c>
      <c r="H5" s="1">
        <f t="shared" si="0"/>
        <v>167100</v>
      </c>
      <c r="I5" s="10"/>
      <c r="J5" s="10"/>
      <c r="K5" s="10"/>
      <c r="L5" s="10"/>
      <c r="M5" s="10"/>
    </row>
    <row r="6" spans="1:24">
      <c r="A6" s="133"/>
      <c r="B6" s="8" t="s">
        <v>11</v>
      </c>
      <c r="C6" s="1">
        <v>46000</v>
      </c>
      <c r="D6" s="1">
        <v>41000</v>
      </c>
      <c r="E6" s="1">
        <v>36000</v>
      </c>
      <c r="F6" s="1">
        <v>31000</v>
      </c>
      <c r="G6" s="1">
        <v>26000</v>
      </c>
      <c r="H6" s="1">
        <v>20000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>
      <c r="A7" s="133"/>
      <c r="B7" s="20" t="s">
        <v>53</v>
      </c>
      <c r="C7" s="29">
        <v>19500</v>
      </c>
      <c r="D7" s="29">
        <f>C7</f>
        <v>19500</v>
      </c>
      <c r="E7" s="29">
        <f t="shared" ref="E7:H7" si="1">D7</f>
        <v>19500</v>
      </c>
      <c r="F7" s="29">
        <f t="shared" si="1"/>
        <v>19500</v>
      </c>
      <c r="G7" s="29">
        <f t="shared" si="1"/>
        <v>19500</v>
      </c>
      <c r="H7" s="29">
        <f t="shared" si="1"/>
        <v>19500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>
      <c r="A8" s="133"/>
      <c r="B8" s="20" t="s">
        <v>51</v>
      </c>
      <c r="C8" s="29">
        <f>(((C5-C6)*0.95)*2)-C7*2</f>
        <v>191090</v>
      </c>
      <c r="D8" s="29">
        <f t="shared" ref="D8:H8" si="2">(((D5-D6)*0.95)*2)-D7*2</f>
        <v>200590</v>
      </c>
      <c r="E8" s="29">
        <f t="shared" si="2"/>
        <v>210090</v>
      </c>
      <c r="F8" s="29">
        <f t="shared" si="2"/>
        <v>219590</v>
      </c>
      <c r="G8" s="29">
        <f t="shared" si="2"/>
        <v>229090</v>
      </c>
      <c r="H8" s="29">
        <f t="shared" si="2"/>
        <v>240490</v>
      </c>
      <c r="I8" s="10"/>
      <c r="J8" s="10"/>
      <c r="K8" s="10"/>
      <c r="L8" s="10"/>
      <c r="M8" s="10"/>
    </row>
    <row r="9" spans="1:24">
      <c r="A9" s="133"/>
      <c r="B9" s="20" t="s">
        <v>52</v>
      </c>
      <c r="C9" s="29">
        <f>(C5-C6)-C7</f>
        <v>101600</v>
      </c>
      <c r="D9" s="29">
        <f t="shared" ref="D9:H9" si="3">(D5-D6)-D7</f>
        <v>106600</v>
      </c>
      <c r="E9" s="29">
        <f t="shared" si="3"/>
        <v>111600</v>
      </c>
      <c r="F9" s="29">
        <f t="shared" si="3"/>
        <v>116600</v>
      </c>
      <c r="G9" s="29">
        <f t="shared" si="3"/>
        <v>121600</v>
      </c>
      <c r="H9" s="29">
        <f t="shared" si="3"/>
        <v>127600</v>
      </c>
      <c r="I9" s="10"/>
      <c r="J9" s="10"/>
      <c r="K9" s="10"/>
      <c r="L9" s="10"/>
      <c r="M9" s="10"/>
    </row>
    <row r="10" spans="1:24" ht="16" customHeight="1">
      <c r="A10" s="132" t="s">
        <v>47</v>
      </c>
      <c r="B10" s="8" t="s">
        <v>12</v>
      </c>
      <c r="C10" s="1">
        <v>173800</v>
      </c>
      <c r="D10" s="1">
        <f t="shared" ref="D10:H10" si="4">C10</f>
        <v>173800</v>
      </c>
      <c r="E10" s="1">
        <f t="shared" si="4"/>
        <v>173800</v>
      </c>
      <c r="F10" s="1">
        <f t="shared" si="4"/>
        <v>173800</v>
      </c>
      <c r="G10" s="1">
        <f t="shared" si="4"/>
        <v>173800</v>
      </c>
      <c r="H10" s="1">
        <f t="shared" si="4"/>
        <v>173800</v>
      </c>
    </row>
    <row r="11" spans="1:24">
      <c r="A11" s="133"/>
      <c r="B11" s="8" t="s">
        <v>11</v>
      </c>
      <c r="C11" s="1">
        <f t="shared" ref="C11:H11" si="5">C6</f>
        <v>46000</v>
      </c>
      <c r="D11" s="1">
        <f t="shared" si="5"/>
        <v>41000</v>
      </c>
      <c r="E11" s="1">
        <f t="shared" si="5"/>
        <v>36000</v>
      </c>
      <c r="F11" s="1">
        <f t="shared" si="5"/>
        <v>31000</v>
      </c>
      <c r="G11" s="1">
        <f t="shared" si="5"/>
        <v>26000</v>
      </c>
      <c r="H11" s="1">
        <f t="shared" si="5"/>
        <v>20000</v>
      </c>
    </row>
    <row r="12" spans="1:24">
      <c r="A12" s="133"/>
      <c r="B12" s="30" t="s">
        <v>53</v>
      </c>
      <c r="C12" s="31">
        <f>C7</f>
        <v>19500</v>
      </c>
      <c r="D12" s="31">
        <f>C12</f>
        <v>19500</v>
      </c>
      <c r="E12" s="31">
        <f t="shared" ref="E12:H12" si="6">D12</f>
        <v>19500</v>
      </c>
      <c r="F12" s="31">
        <f t="shared" si="6"/>
        <v>19500</v>
      </c>
      <c r="G12" s="31">
        <f t="shared" si="6"/>
        <v>19500</v>
      </c>
      <c r="H12" s="31">
        <f t="shared" si="6"/>
        <v>19500</v>
      </c>
    </row>
    <row r="13" spans="1:24">
      <c r="A13" s="133"/>
      <c r="B13" s="21" t="s">
        <v>51</v>
      </c>
      <c r="C13" s="31">
        <f>(((C10-C11)*0.95)*2)-C12*2</f>
        <v>203820</v>
      </c>
      <c r="D13" s="31">
        <f t="shared" ref="D13:H13" si="7">(((D10-D11)*0.95)*2)-D12*2</f>
        <v>213320</v>
      </c>
      <c r="E13" s="31">
        <f t="shared" si="7"/>
        <v>222820</v>
      </c>
      <c r="F13" s="31">
        <f t="shared" si="7"/>
        <v>232320</v>
      </c>
      <c r="G13" s="31">
        <f t="shared" si="7"/>
        <v>241820</v>
      </c>
      <c r="H13" s="31">
        <f t="shared" si="7"/>
        <v>253220</v>
      </c>
    </row>
    <row r="14" spans="1:24">
      <c r="A14" s="133"/>
      <c r="B14" s="21" t="s">
        <v>52</v>
      </c>
      <c r="C14" s="31">
        <f>(C10-C11)-C12</f>
        <v>108300</v>
      </c>
      <c r="D14" s="31">
        <f t="shared" ref="D14:H14" si="8">(D10-D11)-D12</f>
        <v>113300</v>
      </c>
      <c r="E14" s="31">
        <f t="shared" si="8"/>
        <v>118300</v>
      </c>
      <c r="F14" s="31">
        <f t="shared" si="8"/>
        <v>123300</v>
      </c>
      <c r="G14" s="31">
        <f t="shared" si="8"/>
        <v>128300</v>
      </c>
      <c r="H14" s="31">
        <f t="shared" si="8"/>
        <v>134300</v>
      </c>
    </row>
    <row r="15" spans="1:24">
      <c r="A15" s="132" t="s">
        <v>48</v>
      </c>
      <c r="B15" s="8" t="s">
        <v>12</v>
      </c>
      <c r="C15" s="1">
        <f>C10*1.05</f>
        <v>182490</v>
      </c>
      <c r="D15" s="1">
        <f t="shared" ref="D15:H15" si="9">C15</f>
        <v>182490</v>
      </c>
      <c r="E15" s="1">
        <f t="shared" si="9"/>
        <v>182490</v>
      </c>
      <c r="F15" s="1">
        <f t="shared" si="9"/>
        <v>182490</v>
      </c>
      <c r="G15" s="1">
        <f t="shared" si="9"/>
        <v>182490</v>
      </c>
      <c r="H15" s="1">
        <f t="shared" si="9"/>
        <v>182490</v>
      </c>
    </row>
    <row r="16" spans="1:24">
      <c r="A16" s="133"/>
      <c r="B16" s="8" t="s">
        <v>11</v>
      </c>
      <c r="C16" s="1">
        <f t="shared" ref="C16:H16" si="10">C11</f>
        <v>46000</v>
      </c>
      <c r="D16" s="1">
        <f t="shared" si="10"/>
        <v>41000</v>
      </c>
      <c r="E16" s="1">
        <f t="shared" si="10"/>
        <v>36000</v>
      </c>
      <c r="F16" s="1">
        <f t="shared" si="10"/>
        <v>31000</v>
      </c>
      <c r="G16" s="1">
        <f t="shared" si="10"/>
        <v>26000</v>
      </c>
      <c r="H16" s="1">
        <f t="shared" si="10"/>
        <v>20000</v>
      </c>
    </row>
    <row r="17" spans="1:14">
      <c r="A17" s="133"/>
      <c r="B17" s="32" t="s">
        <v>53</v>
      </c>
      <c r="C17" s="33">
        <f>C12</f>
        <v>19500</v>
      </c>
      <c r="D17" s="33">
        <f>C17</f>
        <v>19500</v>
      </c>
      <c r="E17" s="33">
        <f t="shared" ref="E17:H17" si="11">D17</f>
        <v>19500</v>
      </c>
      <c r="F17" s="33">
        <f t="shared" si="11"/>
        <v>19500</v>
      </c>
      <c r="G17" s="33">
        <f t="shared" si="11"/>
        <v>19500</v>
      </c>
      <c r="H17" s="33">
        <f t="shared" si="11"/>
        <v>19500</v>
      </c>
    </row>
    <row r="18" spans="1:14">
      <c r="A18" s="133"/>
      <c r="B18" s="22" t="s">
        <v>51</v>
      </c>
      <c r="C18" s="33">
        <f>(((C15-C16)*0.95)*2)-C17*2</f>
        <v>220331</v>
      </c>
      <c r="D18" s="33">
        <f t="shared" ref="D18:H18" si="12">(((D15-D16)*0.95)*2)-D17*2</f>
        <v>229831</v>
      </c>
      <c r="E18" s="33">
        <f t="shared" si="12"/>
        <v>239331</v>
      </c>
      <c r="F18" s="33">
        <f t="shared" si="12"/>
        <v>248831</v>
      </c>
      <c r="G18" s="33">
        <f t="shared" si="12"/>
        <v>258331</v>
      </c>
      <c r="H18" s="33">
        <f t="shared" si="12"/>
        <v>269731</v>
      </c>
    </row>
    <row r="19" spans="1:14">
      <c r="A19" s="133"/>
      <c r="B19" s="22" t="s">
        <v>52</v>
      </c>
      <c r="C19" s="33">
        <f>(C15-C16)-C17</f>
        <v>116990</v>
      </c>
      <c r="D19" s="33">
        <f t="shared" ref="D19:H19" si="13">(D15-D16)-D17</f>
        <v>121990</v>
      </c>
      <c r="E19" s="33">
        <f t="shared" si="13"/>
        <v>126990</v>
      </c>
      <c r="F19" s="33">
        <f t="shared" si="13"/>
        <v>131990</v>
      </c>
      <c r="G19" s="33">
        <f t="shared" si="13"/>
        <v>136990</v>
      </c>
      <c r="H19" s="33">
        <f t="shared" si="13"/>
        <v>142990</v>
      </c>
    </row>
    <row r="20" spans="1:14">
      <c r="A20" s="132" t="s">
        <v>49</v>
      </c>
      <c r="B20" s="8" t="s">
        <v>12</v>
      </c>
      <c r="C20" s="1">
        <f>C15*1.05</f>
        <v>191614.5</v>
      </c>
      <c r="D20" s="1">
        <f t="shared" ref="D20:H20" si="14">C20</f>
        <v>191614.5</v>
      </c>
      <c r="E20" s="1">
        <f t="shared" si="14"/>
        <v>191614.5</v>
      </c>
      <c r="F20" s="1">
        <f t="shared" si="14"/>
        <v>191614.5</v>
      </c>
      <c r="G20" s="1">
        <f t="shared" si="14"/>
        <v>191614.5</v>
      </c>
      <c r="H20" s="1">
        <f t="shared" si="14"/>
        <v>191614.5</v>
      </c>
    </row>
    <row r="21" spans="1:14">
      <c r="A21" s="133"/>
      <c r="B21" s="8" t="s">
        <v>11</v>
      </c>
      <c r="C21" s="1">
        <f t="shared" ref="C21:H21" si="15">C16</f>
        <v>46000</v>
      </c>
      <c r="D21" s="1">
        <f t="shared" si="15"/>
        <v>41000</v>
      </c>
      <c r="E21" s="1">
        <f t="shared" si="15"/>
        <v>36000</v>
      </c>
      <c r="F21" s="1">
        <f t="shared" si="15"/>
        <v>31000</v>
      </c>
      <c r="G21" s="1">
        <f t="shared" si="15"/>
        <v>26000</v>
      </c>
      <c r="H21" s="1">
        <f t="shared" si="15"/>
        <v>20000</v>
      </c>
    </row>
    <row r="22" spans="1:14">
      <c r="A22" s="133"/>
      <c r="B22" s="34" t="s">
        <v>53</v>
      </c>
      <c r="C22" s="35">
        <f>C17</f>
        <v>19500</v>
      </c>
      <c r="D22" s="35">
        <f>C22</f>
        <v>19500</v>
      </c>
      <c r="E22" s="35">
        <f t="shared" ref="E22:H22" si="16">D22</f>
        <v>19500</v>
      </c>
      <c r="F22" s="35">
        <f t="shared" si="16"/>
        <v>19500</v>
      </c>
      <c r="G22" s="35">
        <f t="shared" si="16"/>
        <v>19500</v>
      </c>
      <c r="H22" s="35">
        <f t="shared" si="16"/>
        <v>19500</v>
      </c>
    </row>
    <row r="23" spans="1:14">
      <c r="A23" s="133"/>
      <c r="B23" s="23" t="s">
        <v>51</v>
      </c>
      <c r="C23" s="35">
        <f>(((C20-C21)*0.95)*2)-C22*2</f>
        <v>237667.55</v>
      </c>
      <c r="D23" s="35">
        <f t="shared" ref="D23:H23" si="17">(((D20-D21)*0.95)*2)-D22*2</f>
        <v>247167.55</v>
      </c>
      <c r="E23" s="35">
        <f t="shared" si="17"/>
        <v>256667.55</v>
      </c>
      <c r="F23" s="35">
        <f t="shared" si="17"/>
        <v>266167.55</v>
      </c>
      <c r="G23" s="35">
        <f t="shared" si="17"/>
        <v>275667.55</v>
      </c>
      <c r="H23" s="35">
        <f t="shared" si="17"/>
        <v>287067.55</v>
      </c>
    </row>
    <row r="24" spans="1:14">
      <c r="A24" s="133"/>
      <c r="B24" s="23" t="s">
        <v>52</v>
      </c>
      <c r="C24" s="35">
        <f>(C20-C21)-C22</f>
        <v>126114.5</v>
      </c>
      <c r="D24" s="35">
        <f t="shared" ref="D24:H24" si="18">(D20-D21)-D22</f>
        <v>131114.5</v>
      </c>
      <c r="E24" s="35">
        <f t="shared" si="18"/>
        <v>136114.5</v>
      </c>
      <c r="F24" s="35">
        <f t="shared" si="18"/>
        <v>141114.5</v>
      </c>
      <c r="G24" s="35">
        <f t="shared" si="18"/>
        <v>146114.5</v>
      </c>
      <c r="H24" s="35">
        <f t="shared" si="18"/>
        <v>152114.5</v>
      </c>
    </row>
    <row r="25" spans="1:14">
      <c r="A25" s="128" t="s">
        <v>13</v>
      </c>
      <c r="B25" s="128"/>
      <c r="C25" s="35">
        <f t="shared" ref="C25:H25" si="19">SUM(C8,C13,C18,C23)</f>
        <v>852908.55</v>
      </c>
      <c r="D25" s="35">
        <f t="shared" si="19"/>
        <v>890908.55</v>
      </c>
      <c r="E25" s="35">
        <f t="shared" si="19"/>
        <v>928908.55</v>
      </c>
      <c r="F25" s="35">
        <f t="shared" si="19"/>
        <v>966908.55</v>
      </c>
      <c r="G25" s="35">
        <f t="shared" si="19"/>
        <v>1004908.55</v>
      </c>
      <c r="H25" s="35">
        <f t="shared" si="19"/>
        <v>1050508.55</v>
      </c>
    </row>
    <row r="26" spans="1:14">
      <c r="A26" s="37"/>
      <c r="B26" s="109" t="s">
        <v>14</v>
      </c>
      <c r="C26" s="110"/>
      <c r="D26" s="110"/>
      <c r="E26" s="110"/>
      <c r="F26" s="110"/>
      <c r="G26" s="110"/>
      <c r="H26" s="110"/>
      <c r="I26" s="10"/>
      <c r="J26" s="10"/>
      <c r="K26" s="10"/>
      <c r="L26" s="10"/>
      <c r="M26" s="10"/>
      <c r="N26" s="10"/>
    </row>
    <row r="27" spans="1:14" ht="24" customHeight="1">
      <c r="A27" s="132" t="s">
        <v>46</v>
      </c>
      <c r="B27" s="8" t="s">
        <v>15</v>
      </c>
      <c r="C27" s="1">
        <f>C5*0.75</f>
        <v>125325</v>
      </c>
      <c r="D27" s="1">
        <f t="shared" ref="D27:H27" si="20">C27</f>
        <v>125325</v>
      </c>
      <c r="E27" s="1">
        <f t="shared" si="20"/>
        <v>125325</v>
      </c>
      <c r="F27" s="1">
        <f t="shared" si="20"/>
        <v>125325</v>
      </c>
      <c r="G27" s="1">
        <f t="shared" si="20"/>
        <v>125325</v>
      </c>
      <c r="H27" s="1">
        <f t="shared" si="20"/>
        <v>125325</v>
      </c>
    </row>
    <row r="28" spans="1:14">
      <c r="A28" s="133"/>
      <c r="B28" s="8" t="s">
        <v>11</v>
      </c>
      <c r="C28" s="1">
        <v>46000</v>
      </c>
      <c r="D28" s="1">
        <v>41000</v>
      </c>
      <c r="E28" s="1">
        <v>36000</v>
      </c>
      <c r="F28" s="1">
        <v>31000</v>
      </c>
      <c r="G28" s="1">
        <v>26000</v>
      </c>
      <c r="H28" s="1">
        <v>20000</v>
      </c>
    </row>
    <row r="29" spans="1:14">
      <c r="A29" s="133"/>
      <c r="B29" s="20" t="s">
        <v>51</v>
      </c>
      <c r="C29" s="29">
        <f t="shared" ref="C29:H29" si="21">((C27-C28)*0.95)*2</f>
        <v>150717.5</v>
      </c>
      <c r="D29" s="29">
        <f t="shared" si="21"/>
        <v>160217.5</v>
      </c>
      <c r="E29" s="29">
        <f t="shared" si="21"/>
        <v>169717.5</v>
      </c>
      <c r="F29" s="29">
        <f t="shared" si="21"/>
        <v>179217.5</v>
      </c>
      <c r="G29" s="29">
        <f t="shared" si="21"/>
        <v>188717.5</v>
      </c>
      <c r="H29" s="29">
        <f t="shared" si="21"/>
        <v>200117.5</v>
      </c>
      <c r="I29" s="10"/>
      <c r="J29" s="10"/>
      <c r="K29" s="10"/>
      <c r="L29" s="10"/>
      <c r="M29" s="10"/>
    </row>
    <row r="30" spans="1:14">
      <c r="A30" s="133"/>
      <c r="B30" s="20" t="s">
        <v>52</v>
      </c>
      <c r="C30" s="29">
        <f t="shared" ref="C30:H30" si="22">(C27-C28)</f>
        <v>79325</v>
      </c>
      <c r="D30" s="29">
        <f t="shared" si="22"/>
        <v>84325</v>
      </c>
      <c r="E30" s="29">
        <f t="shared" si="22"/>
        <v>89325</v>
      </c>
      <c r="F30" s="29">
        <f t="shared" si="22"/>
        <v>94325</v>
      </c>
      <c r="G30" s="29">
        <f t="shared" si="22"/>
        <v>99325</v>
      </c>
      <c r="H30" s="29">
        <f t="shared" si="22"/>
        <v>105325</v>
      </c>
      <c r="I30" s="10"/>
      <c r="J30" s="10"/>
      <c r="K30" s="10"/>
      <c r="L30" s="10"/>
      <c r="M30" s="10"/>
    </row>
    <row r="31" spans="1:14">
      <c r="A31" s="132" t="s">
        <v>47</v>
      </c>
      <c r="B31" s="8" t="s">
        <v>15</v>
      </c>
      <c r="C31" s="1">
        <f>C10*0.75</f>
        <v>130350</v>
      </c>
      <c r="D31" s="1">
        <f t="shared" ref="D31:H31" si="23">C31</f>
        <v>130350</v>
      </c>
      <c r="E31" s="1">
        <f t="shared" si="23"/>
        <v>130350</v>
      </c>
      <c r="F31" s="1">
        <f t="shared" si="23"/>
        <v>130350</v>
      </c>
      <c r="G31" s="1">
        <f t="shared" si="23"/>
        <v>130350</v>
      </c>
      <c r="H31" s="1">
        <f t="shared" si="23"/>
        <v>130350</v>
      </c>
    </row>
    <row r="32" spans="1:14">
      <c r="A32" s="133"/>
      <c r="B32" s="8" t="s">
        <v>11</v>
      </c>
      <c r="C32" s="1">
        <f t="shared" ref="C32:H32" si="24">C28</f>
        <v>46000</v>
      </c>
      <c r="D32" s="1">
        <f t="shared" si="24"/>
        <v>41000</v>
      </c>
      <c r="E32" s="1">
        <f t="shared" si="24"/>
        <v>36000</v>
      </c>
      <c r="F32" s="1">
        <f t="shared" si="24"/>
        <v>31000</v>
      </c>
      <c r="G32" s="1">
        <f t="shared" si="24"/>
        <v>26000</v>
      </c>
      <c r="H32" s="1">
        <f t="shared" si="24"/>
        <v>20000</v>
      </c>
    </row>
    <row r="33" spans="1:8">
      <c r="A33" s="133"/>
      <c r="B33" s="30" t="s">
        <v>51</v>
      </c>
      <c r="C33" s="31">
        <f t="shared" ref="C33:H33" si="25">((C31-C32)*0.95)*2</f>
        <v>160265</v>
      </c>
      <c r="D33" s="31">
        <f t="shared" si="25"/>
        <v>169765</v>
      </c>
      <c r="E33" s="31">
        <f t="shared" si="25"/>
        <v>179265</v>
      </c>
      <c r="F33" s="31">
        <f t="shared" si="25"/>
        <v>188765</v>
      </c>
      <c r="G33" s="31">
        <f t="shared" si="25"/>
        <v>198265</v>
      </c>
      <c r="H33" s="31">
        <f t="shared" si="25"/>
        <v>209665</v>
      </c>
    </row>
    <row r="34" spans="1:8">
      <c r="A34" s="133"/>
      <c r="B34" s="21" t="s">
        <v>52</v>
      </c>
      <c r="C34" s="31">
        <f t="shared" ref="C34:H34" si="26">(C31-C32)</f>
        <v>84350</v>
      </c>
      <c r="D34" s="31">
        <f t="shared" si="26"/>
        <v>89350</v>
      </c>
      <c r="E34" s="31">
        <f t="shared" si="26"/>
        <v>94350</v>
      </c>
      <c r="F34" s="31">
        <f t="shared" si="26"/>
        <v>99350</v>
      </c>
      <c r="G34" s="31">
        <f t="shared" si="26"/>
        <v>104350</v>
      </c>
      <c r="H34" s="31">
        <f t="shared" si="26"/>
        <v>110350</v>
      </c>
    </row>
    <row r="35" spans="1:8">
      <c r="A35" s="132" t="s">
        <v>48</v>
      </c>
      <c r="B35" s="8" t="s">
        <v>15</v>
      </c>
      <c r="C35" s="1">
        <f>C31*1.05</f>
        <v>136867.5</v>
      </c>
      <c r="D35" s="1">
        <f t="shared" ref="D35:H35" si="27">C35</f>
        <v>136867.5</v>
      </c>
      <c r="E35" s="1">
        <f t="shared" si="27"/>
        <v>136867.5</v>
      </c>
      <c r="F35" s="1">
        <f t="shared" si="27"/>
        <v>136867.5</v>
      </c>
      <c r="G35" s="1">
        <f t="shared" si="27"/>
        <v>136867.5</v>
      </c>
      <c r="H35" s="1">
        <f t="shared" si="27"/>
        <v>136867.5</v>
      </c>
    </row>
    <row r="36" spans="1:8">
      <c r="A36" s="133"/>
      <c r="B36" s="8" t="s">
        <v>11</v>
      </c>
      <c r="C36" s="1">
        <f t="shared" ref="C36:H36" si="28">C32</f>
        <v>46000</v>
      </c>
      <c r="D36" s="1">
        <f t="shared" si="28"/>
        <v>41000</v>
      </c>
      <c r="E36" s="1">
        <f t="shared" si="28"/>
        <v>36000</v>
      </c>
      <c r="F36" s="1">
        <f t="shared" si="28"/>
        <v>31000</v>
      </c>
      <c r="G36" s="1">
        <f t="shared" si="28"/>
        <v>26000</v>
      </c>
      <c r="H36" s="1">
        <f t="shared" si="28"/>
        <v>20000</v>
      </c>
    </row>
    <row r="37" spans="1:8">
      <c r="A37" s="133"/>
      <c r="B37" s="32" t="s">
        <v>51</v>
      </c>
      <c r="C37" s="33">
        <f t="shared" ref="C37:H37" si="29">((C35-C36)*0.95)*2</f>
        <v>172648.25</v>
      </c>
      <c r="D37" s="33">
        <f t="shared" si="29"/>
        <v>182148.25</v>
      </c>
      <c r="E37" s="33">
        <f t="shared" si="29"/>
        <v>191648.25</v>
      </c>
      <c r="F37" s="33">
        <f t="shared" si="29"/>
        <v>201148.25</v>
      </c>
      <c r="G37" s="33">
        <f t="shared" si="29"/>
        <v>210648.25</v>
      </c>
      <c r="H37" s="33">
        <f t="shared" si="29"/>
        <v>222048.25</v>
      </c>
    </row>
    <row r="38" spans="1:8">
      <c r="A38" s="133"/>
      <c r="B38" s="22" t="s">
        <v>52</v>
      </c>
      <c r="C38" s="33">
        <f t="shared" ref="C38:H38" si="30">(C35-C36)</f>
        <v>90867.5</v>
      </c>
      <c r="D38" s="33">
        <f t="shared" si="30"/>
        <v>95867.5</v>
      </c>
      <c r="E38" s="33">
        <f t="shared" si="30"/>
        <v>100867.5</v>
      </c>
      <c r="F38" s="33">
        <f t="shared" si="30"/>
        <v>105867.5</v>
      </c>
      <c r="G38" s="33">
        <f t="shared" si="30"/>
        <v>110867.5</v>
      </c>
      <c r="H38" s="33">
        <f t="shared" si="30"/>
        <v>116867.5</v>
      </c>
    </row>
    <row r="39" spans="1:8">
      <c r="A39" s="132" t="s">
        <v>49</v>
      </c>
      <c r="B39" s="8" t="s">
        <v>15</v>
      </c>
      <c r="C39" s="1">
        <f>C35*1.05</f>
        <v>143710.875</v>
      </c>
      <c r="D39" s="1">
        <f t="shared" ref="D39:H39" si="31">C39</f>
        <v>143710.875</v>
      </c>
      <c r="E39" s="1">
        <f t="shared" si="31"/>
        <v>143710.875</v>
      </c>
      <c r="F39" s="1">
        <f t="shared" si="31"/>
        <v>143710.875</v>
      </c>
      <c r="G39" s="1">
        <f t="shared" si="31"/>
        <v>143710.875</v>
      </c>
      <c r="H39" s="1">
        <f t="shared" si="31"/>
        <v>143710.875</v>
      </c>
    </row>
    <row r="40" spans="1:8">
      <c r="A40" s="133"/>
      <c r="B40" s="8" t="s">
        <v>11</v>
      </c>
      <c r="C40" s="1">
        <f t="shared" ref="C40:H40" si="32">C36</f>
        <v>46000</v>
      </c>
      <c r="D40" s="1">
        <f t="shared" si="32"/>
        <v>41000</v>
      </c>
      <c r="E40" s="1">
        <f t="shared" si="32"/>
        <v>36000</v>
      </c>
      <c r="F40" s="1">
        <f t="shared" si="32"/>
        <v>31000</v>
      </c>
      <c r="G40" s="1">
        <f t="shared" si="32"/>
        <v>26000</v>
      </c>
      <c r="H40" s="1">
        <f t="shared" si="32"/>
        <v>20000</v>
      </c>
    </row>
    <row r="41" spans="1:8">
      <c r="A41" s="133"/>
      <c r="B41" s="34" t="s">
        <v>51</v>
      </c>
      <c r="C41" s="35">
        <f t="shared" ref="C41:H41" si="33">((C39-C40)*0.95)*2</f>
        <v>185650.66250000001</v>
      </c>
      <c r="D41" s="35">
        <f t="shared" si="33"/>
        <v>195150.66249999998</v>
      </c>
      <c r="E41" s="35">
        <f t="shared" si="33"/>
        <v>204650.66249999998</v>
      </c>
      <c r="F41" s="35">
        <f t="shared" si="33"/>
        <v>214150.66249999998</v>
      </c>
      <c r="G41" s="35">
        <f t="shared" si="33"/>
        <v>223650.66249999998</v>
      </c>
      <c r="H41" s="35">
        <f t="shared" si="33"/>
        <v>235050.66249999998</v>
      </c>
    </row>
    <row r="42" spans="1:8">
      <c r="A42" s="133"/>
      <c r="B42" s="23" t="s">
        <v>52</v>
      </c>
      <c r="C42" s="35">
        <f t="shared" ref="C42:H42" si="34">(C39-C40)</f>
        <v>97710.875</v>
      </c>
      <c r="D42" s="35">
        <f t="shared" si="34"/>
        <v>102710.875</v>
      </c>
      <c r="E42" s="35">
        <f t="shared" si="34"/>
        <v>107710.875</v>
      </c>
      <c r="F42" s="35">
        <f t="shared" si="34"/>
        <v>112710.875</v>
      </c>
      <c r="G42" s="35">
        <f t="shared" si="34"/>
        <v>117710.875</v>
      </c>
      <c r="H42" s="35">
        <f t="shared" si="34"/>
        <v>123710.875</v>
      </c>
    </row>
    <row r="43" spans="1:8">
      <c r="A43" s="128" t="s">
        <v>13</v>
      </c>
      <c r="B43" s="128"/>
      <c r="C43" s="35">
        <f t="shared" ref="C43:H43" si="35">SUM(C29,C33,C37,C41)</f>
        <v>669281.41249999998</v>
      </c>
      <c r="D43" s="35">
        <f t="shared" si="35"/>
        <v>707281.41249999998</v>
      </c>
      <c r="E43" s="35">
        <f t="shared" si="35"/>
        <v>745281.41249999998</v>
      </c>
      <c r="F43" s="35">
        <f t="shared" si="35"/>
        <v>783281.41249999998</v>
      </c>
      <c r="G43" s="35">
        <f t="shared" si="35"/>
        <v>821281.41249999998</v>
      </c>
      <c r="H43" s="35">
        <f t="shared" si="35"/>
        <v>866881.41249999998</v>
      </c>
    </row>
    <row r="44" spans="1:8" ht="16" customHeight="1">
      <c r="A44" s="105" t="s">
        <v>16</v>
      </c>
      <c r="B44" s="105"/>
      <c r="C44" s="105"/>
      <c r="D44" s="105"/>
      <c r="E44" s="105"/>
      <c r="F44" s="105"/>
      <c r="G44" s="105"/>
      <c r="H44" s="105"/>
    </row>
    <row r="45" spans="1:8" ht="16" customHeight="1">
      <c r="A45" s="105"/>
      <c r="B45" s="105"/>
      <c r="C45" s="105"/>
      <c r="D45" s="105"/>
      <c r="E45" s="105"/>
      <c r="F45" s="105"/>
      <c r="G45" s="105"/>
      <c r="H45" s="105"/>
    </row>
    <row r="46" spans="1:8" ht="6" customHeight="1">
      <c r="A46" s="105"/>
      <c r="B46" s="105"/>
      <c r="C46" s="105"/>
      <c r="D46" s="105"/>
      <c r="E46" s="105"/>
      <c r="F46" s="105"/>
      <c r="G46" s="105"/>
      <c r="H46" s="105"/>
    </row>
    <row r="47" spans="1:8">
      <c r="A47" s="123" t="s">
        <v>17</v>
      </c>
      <c r="B47" s="139"/>
      <c r="C47" s="118" t="s">
        <v>18</v>
      </c>
      <c r="D47" s="118"/>
      <c r="E47" s="2">
        <v>10000</v>
      </c>
      <c r="F47" s="112"/>
      <c r="G47" s="113"/>
      <c r="H47" s="113"/>
    </row>
    <row r="48" spans="1:8" ht="16" customHeight="1">
      <c r="A48" s="123"/>
      <c r="B48" s="139"/>
      <c r="C48" s="119" t="s">
        <v>19</v>
      </c>
      <c r="D48" s="119"/>
      <c r="E48" s="5">
        <v>3000</v>
      </c>
      <c r="F48" s="114"/>
      <c r="G48" s="115"/>
      <c r="H48" s="115"/>
    </row>
    <row r="49" spans="1:8" ht="16" customHeight="1">
      <c r="A49" s="123"/>
      <c r="B49" s="139"/>
      <c r="C49" s="120" t="s">
        <v>20</v>
      </c>
      <c r="D49" s="120"/>
      <c r="E49" s="11">
        <v>5000</v>
      </c>
      <c r="F49" s="114"/>
      <c r="G49" s="115"/>
      <c r="H49" s="115"/>
    </row>
    <row r="50" spans="1:8">
      <c r="A50" s="127" t="s">
        <v>82</v>
      </c>
      <c r="B50" s="127"/>
      <c r="C50" s="128" t="s">
        <v>30</v>
      </c>
      <c r="D50" s="128"/>
      <c r="E50" s="8">
        <v>18500</v>
      </c>
      <c r="F50" s="115"/>
      <c r="G50" s="115"/>
      <c r="H50" s="115"/>
    </row>
    <row r="51" spans="1:8">
      <c r="A51" s="127"/>
      <c r="B51" s="127"/>
      <c r="C51" s="128" t="s">
        <v>31</v>
      </c>
      <c r="D51" s="128"/>
      <c r="E51" s="8">
        <v>9750</v>
      </c>
      <c r="F51" s="117"/>
      <c r="G51" s="117"/>
      <c r="H51" s="117"/>
    </row>
    <row r="52" spans="1:8" ht="33" customHeight="1">
      <c r="A52" s="12" t="s">
        <v>21</v>
      </c>
      <c r="B52" s="12" t="s">
        <v>22</v>
      </c>
      <c r="C52" s="13" t="s">
        <v>23</v>
      </c>
      <c r="D52" s="13" t="s">
        <v>24</v>
      </c>
      <c r="E52" s="13" t="s">
        <v>25</v>
      </c>
      <c r="F52" s="13" t="s">
        <v>26</v>
      </c>
      <c r="G52" s="12" t="s">
        <v>27</v>
      </c>
      <c r="H52" s="12" t="s">
        <v>29</v>
      </c>
    </row>
    <row r="53" spans="1:8" ht="14.5" customHeight="1">
      <c r="A53" s="9" t="s">
        <v>30</v>
      </c>
      <c r="B53" s="5">
        <f>B54*2</f>
        <v>9000</v>
      </c>
      <c r="C53" s="5">
        <f t="shared" ref="C53:G53" si="36">C54*2</f>
        <v>7000</v>
      </c>
      <c r="D53" s="5">
        <v>1000</v>
      </c>
      <c r="E53" s="5">
        <f t="shared" si="36"/>
        <v>1500</v>
      </c>
      <c r="F53" s="5">
        <f t="shared" si="36"/>
        <v>1000</v>
      </c>
      <c r="G53" s="5">
        <f t="shared" si="36"/>
        <v>1000</v>
      </c>
      <c r="H53" s="5">
        <f>SUM(B53:G53)</f>
        <v>20500</v>
      </c>
    </row>
    <row r="54" spans="1:8" ht="14.5" customHeight="1">
      <c r="A54" s="9" t="s">
        <v>31</v>
      </c>
      <c r="B54" s="5">
        <v>4500</v>
      </c>
      <c r="C54" s="5">
        <v>3500</v>
      </c>
      <c r="D54" s="14">
        <v>1000</v>
      </c>
      <c r="E54" s="14">
        <v>750</v>
      </c>
      <c r="F54" s="14">
        <v>500</v>
      </c>
      <c r="G54" s="5">
        <v>500</v>
      </c>
      <c r="H54" s="5">
        <f>SUM(B54:G54)</f>
        <v>10750</v>
      </c>
    </row>
    <row r="55" spans="1:8" ht="20.05" customHeight="1">
      <c r="A55" s="104" t="s">
        <v>54</v>
      </c>
      <c r="B55" s="104"/>
      <c r="C55" s="104"/>
      <c r="D55" s="104"/>
      <c r="E55" s="104"/>
      <c r="F55" s="104"/>
      <c r="G55" s="104"/>
      <c r="H55" s="104"/>
    </row>
    <row r="56" spans="1:8" ht="22" customHeight="1">
      <c r="A56" s="104" t="s">
        <v>55</v>
      </c>
      <c r="B56" s="104"/>
      <c r="C56" s="104"/>
      <c r="D56" s="104"/>
      <c r="E56" s="104"/>
      <c r="F56" s="104"/>
      <c r="G56" s="104"/>
      <c r="H56" s="104"/>
    </row>
    <row r="57" spans="1:8" ht="42" customHeight="1">
      <c r="A57" s="104" t="s">
        <v>56</v>
      </c>
      <c r="B57" s="104"/>
      <c r="C57" s="104"/>
      <c r="D57" s="104"/>
      <c r="E57" s="104"/>
      <c r="F57" s="104"/>
      <c r="G57" s="104"/>
      <c r="H57" s="104"/>
    </row>
    <row r="58" spans="1:8" ht="22" customHeight="1">
      <c r="A58" s="104" t="s">
        <v>32</v>
      </c>
      <c r="B58" s="104"/>
      <c r="C58" s="104"/>
      <c r="D58" s="104"/>
      <c r="E58" s="104"/>
      <c r="F58" s="104"/>
      <c r="G58" s="104"/>
      <c r="H58" s="104"/>
    </row>
    <row r="59" spans="1:8" ht="39" customHeight="1">
      <c r="A59" s="104" t="s">
        <v>84</v>
      </c>
      <c r="B59" s="104"/>
      <c r="C59" s="104"/>
      <c r="D59" s="104"/>
      <c r="E59" s="104"/>
      <c r="F59" s="104"/>
      <c r="G59" s="104"/>
      <c r="H59" s="104"/>
    </row>
    <row r="60" spans="1:8">
      <c r="A60" s="104" t="s">
        <v>9</v>
      </c>
      <c r="B60" s="104"/>
      <c r="C60" s="104"/>
      <c r="D60" s="104"/>
      <c r="E60" s="104"/>
      <c r="F60" s="104"/>
      <c r="G60" s="104"/>
      <c r="H60" s="104"/>
    </row>
  </sheetData>
  <mergeCells count="30">
    <mergeCell ref="A39:A42"/>
    <mergeCell ref="A44:H46"/>
    <mergeCell ref="C47:D47"/>
    <mergeCell ref="C48:D48"/>
    <mergeCell ref="A57:H57"/>
    <mergeCell ref="C49:D49"/>
    <mergeCell ref="A43:B43"/>
    <mergeCell ref="F47:H49"/>
    <mergeCell ref="A55:H55"/>
    <mergeCell ref="A56:H56"/>
    <mergeCell ref="A50:B51"/>
    <mergeCell ref="C50:D50"/>
    <mergeCell ref="F50:H51"/>
    <mergeCell ref="C51:D51"/>
    <mergeCell ref="B4:H4"/>
    <mergeCell ref="B26:H26"/>
    <mergeCell ref="A60:H60"/>
    <mergeCell ref="A59:H59"/>
    <mergeCell ref="A1:H1"/>
    <mergeCell ref="A5:A9"/>
    <mergeCell ref="A10:A14"/>
    <mergeCell ref="A15:A19"/>
    <mergeCell ref="A20:A24"/>
    <mergeCell ref="A25:B25"/>
    <mergeCell ref="A2:H2"/>
    <mergeCell ref="A58:H58"/>
    <mergeCell ref="A47:B49"/>
    <mergeCell ref="A27:A30"/>
    <mergeCell ref="A31:A34"/>
    <mergeCell ref="A35:A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09E6-D2FC-F242-AF69-6F750D8E84AA}">
  <sheetPr>
    <pageSetUpPr fitToPage="1"/>
  </sheetPr>
  <dimension ref="A1:O51"/>
  <sheetViews>
    <sheetView zoomScale="52" workbookViewId="0">
      <selection activeCell="A2" sqref="A2:I2"/>
    </sheetView>
  </sheetViews>
  <sheetFormatPr defaultColWidth="8.85546875" defaultRowHeight="15.9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9" width="16.640625" customWidth="1"/>
  </cols>
  <sheetData>
    <row r="1" spans="1:15">
      <c r="A1" s="131" t="s">
        <v>93</v>
      </c>
      <c r="B1" s="131"/>
      <c r="C1" s="131"/>
      <c r="D1" s="131"/>
      <c r="E1" s="131"/>
      <c r="F1" s="131"/>
      <c r="G1" s="131"/>
      <c r="H1" s="131"/>
      <c r="I1" s="131"/>
    </row>
    <row r="2" spans="1:15" ht="63.45" customHeight="1">
      <c r="A2" s="134" t="s">
        <v>98</v>
      </c>
      <c r="B2" s="134"/>
      <c r="C2" s="134"/>
      <c r="D2" s="134"/>
      <c r="E2" s="134"/>
      <c r="F2" s="134"/>
      <c r="G2" s="134"/>
      <c r="H2" s="134"/>
      <c r="I2" s="134"/>
    </row>
    <row r="3" spans="1:15" ht="85.3" customHeight="1">
      <c r="A3" s="15" t="s">
        <v>1</v>
      </c>
      <c r="B3" s="16" t="s">
        <v>2</v>
      </c>
      <c r="C3" s="15" t="s">
        <v>37</v>
      </c>
      <c r="D3" s="15" t="s">
        <v>38</v>
      </c>
      <c r="E3" s="15" t="s">
        <v>39</v>
      </c>
      <c r="F3" s="15" t="s">
        <v>40</v>
      </c>
      <c r="G3" s="15" t="s">
        <v>41</v>
      </c>
      <c r="H3" s="15" t="s">
        <v>42</v>
      </c>
      <c r="I3" s="15" t="s">
        <v>78</v>
      </c>
    </row>
    <row r="4" spans="1:15" ht="85.3" customHeight="1">
      <c r="A4" s="106" t="s">
        <v>0</v>
      </c>
      <c r="B4" s="107"/>
      <c r="C4" s="107"/>
      <c r="D4" s="107"/>
      <c r="E4" s="107"/>
      <c r="F4" s="107"/>
      <c r="G4" s="107"/>
      <c r="H4" s="107"/>
      <c r="I4" s="108"/>
    </row>
    <row r="5" spans="1:15">
      <c r="A5" s="132" t="s">
        <v>46</v>
      </c>
      <c r="B5" s="8" t="s">
        <v>10</v>
      </c>
      <c r="C5" s="1">
        <v>62100</v>
      </c>
      <c r="D5" s="1">
        <f>C5</f>
        <v>62100</v>
      </c>
      <c r="E5" s="1">
        <f t="shared" ref="E5:I5" si="0">D5</f>
        <v>62100</v>
      </c>
      <c r="F5" s="1">
        <f t="shared" si="0"/>
        <v>62100</v>
      </c>
      <c r="G5" s="1">
        <f t="shared" si="0"/>
        <v>62100</v>
      </c>
      <c r="H5" s="1">
        <f t="shared" si="0"/>
        <v>62100</v>
      </c>
      <c r="I5" s="1">
        <f t="shared" si="0"/>
        <v>62100</v>
      </c>
    </row>
    <row r="6" spans="1:15">
      <c r="A6" s="133"/>
      <c r="B6" s="8" t="s">
        <v>11</v>
      </c>
      <c r="C6" s="1">
        <v>15000</v>
      </c>
      <c r="D6" s="1">
        <v>10000</v>
      </c>
      <c r="E6" s="1">
        <v>7500</v>
      </c>
      <c r="F6" s="1">
        <v>5500</v>
      </c>
      <c r="G6" s="1">
        <v>4500</v>
      </c>
      <c r="H6" s="1">
        <v>3500</v>
      </c>
      <c r="I6" s="1">
        <v>2500</v>
      </c>
    </row>
    <row r="7" spans="1:15">
      <c r="A7" s="133"/>
      <c r="B7" s="30" t="s">
        <v>53</v>
      </c>
      <c r="C7" s="31">
        <v>9500</v>
      </c>
      <c r="D7" s="31">
        <f>C7</f>
        <v>9500</v>
      </c>
      <c r="E7" s="31">
        <f t="shared" ref="E7:H7" si="1">D7</f>
        <v>9500</v>
      </c>
      <c r="F7" s="31">
        <f t="shared" si="1"/>
        <v>9500</v>
      </c>
      <c r="G7" s="31">
        <f t="shared" si="1"/>
        <v>9500</v>
      </c>
      <c r="H7" s="31">
        <f t="shared" si="1"/>
        <v>9500</v>
      </c>
      <c r="I7" s="31">
        <v>7000</v>
      </c>
    </row>
    <row r="8" spans="1:15">
      <c r="A8" s="133"/>
      <c r="B8" s="21" t="s">
        <v>51</v>
      </c>
      <c r="C8" s="31">
        <f>(((C5-C6)*0.95)*2)-C7*2</f>
        <v>70490</v>
      </c>
      <c r="D8" s="31">
        <f t="shared" ref="D8:I8" si="2">(((D5-D6)*0.95)*2)-D7*2</f>
        <v>79990</v>
      </c>
      <c r="E8" s="31">
        <f t="shared" si="2"/>
        <v>84740</v>
      </c>
      <c r="F8" s="31">
        <f t="shared" si="2"/>
        <v>88540</v>
      </c>
      <c r="G8" s="31">
        <f t="shared" si="2"/>
        <v>90440</v>
      </c>
      <c r="H8" s="31">
        <f t="shared" si="2"/>
        <v>92340</v>
      </c>
      <c r="I8" s="31">
        <f t="shared" si="2"/>
        <v>99240</v>
      </c>
      <c r="J8" s="10"/>
      <c r="K8" s="10"/>
      <c r="L8" s="10"/>
      <c r="M8" s="10"/>
      <c r="N8" s="10"/>
      <c r="O8" s="10"/>
    </row>
    <row r="9" spans="1:15">
      <c r="A9" s="133"/>
      <c r="B9" s="21" t="s">
        <v>52</v>
      </c>
      <c r="C9" s="31">
        <f>(C5-C6)-C7</f>
        <v>37600</v>
      </c>
      <c r="D9" s="31">
        <f t="shared" ref="D9:I9" si="3">(D5-D6)-D7</f>
        <v>42600</v>
      </c>
      <c r="E9" s="31">
        <f t="shared" si="3"/>
        <v>45100</v>
      </c>
      <c r="F9" s="31">
        <f t="shared" si="3"/>
        <v>47100</v>
      </c>
      <c r="G9" s="31">
        <f t="shared" si="3"/>
        <v>48100</v>
      </c>
      <c r="H9" s="31">
        <f t="shared" si="3"/>
        <v>49100</v>
      </c>
      <c r="I9" s="31">
        <f t="shared" si="3"/>
        <v>52600</v>
      </c>
      <c r="J9" s="10"/>
      <c r="K9" s="10"/>
      <c r="L9" s="10"/>
      <c r="M9" s="10"/>
      <c r="N9" s="10"/>
      <c r="O9" s="10"/>
    </row>
    <row r="10" spans="1:15" ht="16" customHeight="1">
      <c r="A10" s="132" t="s">
        <v>47</v>
      </c>
      <c r="B10" s="8" t="s">
        <v>12</v>
      </c>
      <c r="C10" s="1">
        <v>63550</v>
      </c>
      <c r="D10" s="1">
        <f t="shared" ref="D10:I10" si="4">C10</f>
        <v>63550</v>
      </c>
      <c r="E10" s="1">
        <f t="shared" si="4"/>
        <v>63550</v>
      </c>
      <c r="F10" s="1">
        <f t="shared" si="4"/>
        <v>63550</v>
      </c>
      <c r="G10" s="1">
        <f t="shared" si="4"/>
        <v>63550</v>
      </c>
      <c r="H10" s="1">
        <f t="shared" si="4"/>
        <v>63550</v>
      </c>
      <c r="I10" s="1">
        <f t="shared" si="4"/>
        <v>63550</v>
      </c>
    </row>
    <row r="11" spans="1:15">
      <c r="A11" s="133"/>
      <c r="B11" s="8" t="s">
        <v>11</v>
      </c>
      <c r="C11" s="1">
        <f t="shared" ref="C11:I12" si="5">C6</f>
        <v>15000</v>
      </c>
      <c r="D11" s="1">
        <f t="shared" si="5"/>
        <v>10000</v>
      </c>
      <c r="E11" s="1">
        <f t="shared" si="5"/>
        <v>7500</v>
      </c>
      <c r="F11" s="1">
        <f t="shared" si="5"/>
        <v>5500</v>
      </c>
      <c r="G11" s="1">
        <f t="shared" si="5"/>
        <v>4500</v>
      </c>
      <c r="H11" s="1">
        <f t="shared" si="5"/>
        <v>3500</v>
      </c>
      <c r="I11" s="1">
        <f t="shared" si="5"/>
        <v>2500</v>
      </c>
    </row>
    <row r="12" spans="1:15">
      <c r="A12" s="133"/>
      <c r="B12" s="32" t="s">
        <v>53</v>
      </c>
      <c r="C12" s="33">
        <f>C7</f>
        <v>9500</v>
      </c>
      <c r="D12" s="33">
        <f t="shared" si="5"/>
        <v>9500</v>
      </c>
      <c r="E12" s="33">
        <f t="shared" si="5"/>
        <v>9500</v>
      </c>
      <c r="F12" s="33">
        <f t="shared" si="5"/>
        <v>9500</v>
      </c>
      <c r="G12" s="33">
        <f t="shared" si="5"/>
        <v>9500</v>
      </c>
      <c r="H12" s="33">
        <f t="shared" si="5"/>
        <v>9500</v>
      </c>
      <c r="I12" s="33">
        <f t="shared" si="5"/>
        <v>7000</v>
      </c>
    </row>
    <row r="13" spans="1:15">
      <c r="A13" s="133"/>
      <c r="B13" s="22" t="s">
        <v>51</v>
      </c>
      <c r="C13" s="33">
        <f>(((C10-C11)*0.95)*2)-C12*2</f>
        <v>73245</v>
      </c>
      <c r="D13" s="33">
        <f t="shared" ref="D13:I13" si="6">(((D10-D11)*0.95)*2)-D12*2</f>
        <v>82745</v>
      </c>
      <c r="E13" s="33">
        <f t="shared" si="6"/>
        <v>87495</v>
      </c>
      <c r="F13" s="33">
        <f t="shared" si="6"/>
        <v>91295</v>
      </c>
      <c r="G13" s="33">
        <f t="shared" si="6"/>
        <v>93195</v>
      </c>
      <c r="H13" s="33">
        <f t="shared" si="6"/>
        <v>95095</v>
      </c>
      <c r="I13" s="33">
        <f t="shared" si="6"/>
        <v>101995</v>
      </c>
    </row>
    <row r="14" spans="1:15">
      <c r="A14" s="133"/>
      <c r="B14" s="22" t="s">
        <v>52</v>
      </c>
      <c r="C14" s="33">
        <f>(C10-C11)-C12</f>
        <v>39050</v>
      </c>
      <c r="D14" s="33">
        <f t="shared" ref="D14:I14" si="7">(D10-D11)-D12</f>
        <v>44050</v>
      </c>
      <c r="E14" s="33">
        <f t="shared" si="7"/>
        <v>46550</v>
      </c>
      <c r="F14" s="33">
        <f t="shared" si="7"/>
        <v>48550</v>
      </c>
      <c r="G14" s="33">
        <f t="shared" si="7"/>
        <v>49550</v>
      </c>
      <c r="H14" s="33">
        <f t="shared" si="7"/>
        <v>50550</v>
      </c>
      <c r="I14" s="33">
        <f t="shared" si="7"/>
        <v>54050</v>
      </c>
    </row>
    <row r="15" spans="1:15">
      <c r="A15" s="132" t="s">
        <v>48</v>
      </c>
      <c r="B15" s="8" t="s">
        <v>12</v>
      </c>
      <c r="C15" s="1">
        <f>C10*1.05</f>
        <v>66727.5</v>
      </c>
      <c r="D15" s="1">
        <f t="shared" ref="D15:I15" si="8">C15</f>
        <v>66727.5</v>
      </c>
      <c r="E15" s="1">
        <f t="shared" si="8"/>
        <v>66727.5</v>
      </c>
      <c r="F15" s="1">
        <f t="shared" si="8"/>
        <v>66727.5</v>
      </c>
      <c r="G15" s="1">
        <f t="shared" si="8"/>
        <v>66727.5</v>
      </c>
      <c r="H15" s="1">
        <f t="shared" si="8"/>
        <v>66727.5</v>
      </c>
      <c r="I15" s="1">
        <f t="shared" si="8"/>
        <v>66727.5</v>
      </c>
    </row>
    <row r="16" spans="1:15">
      <c r="A16" s="133"/>
      <c r="B16" s="8" t="s">
        <v>11</v>
      </c>
      <c r="C16" s="1">
        <f t="shared" ref="C16:I17" si="9">C11</f>
        <v>15000</v>
      </c>
      <c r="D16" s="1">
        <f t="shared" si="9"/>
        <v>10000</v>
      </c>
      <c r="E16" s="1">
        <f t="shared" si="9"/>
        <v>7500</v>
      </c>
      <c r="F16" s="1">
        <f t="shared" si="9"/>
        <v>5500</v>
      </c>
      <c r="G16" s="1">
        <f t="shared" si="9"/>
        <v>4500</v>
      </c>
      <c r="H16" s="1">
        <f t="shared" si="9"/>
        <v>3500</v>
      </c>
      <c r="I16" s="1">
        <f t="shared" si="9"/>
        <v>2500</v>
      </c>
    </row>
    <row r="17" spans="1:15">
      <c r="A17" s="133"/>
      <c r="B17" s="34" t="s">
        <v>53</v>
      </c>
      <c r="C17" s="35">
        <f>C12</f>
        <v>9500</v>
      </c>
      <c r="D17" s="35">
        <f t="shared" si="9"/>
        <v>9500</v>
      </c>
      <c r="E17" s="35">
        <f t="shared" si="9"/>
        <v>9500</v>
      </c>
      <c r="F17" s="35">
        <f t="shared" si="9"/>
        <v>9500</v>
      </c>
      <c r="G17" s="35">
        <f t="shared" si="9"/>
        <v>9500</v>
      </c>
      <c r="H17" s="35">
        <f t="shared" si="9"/>
        <v>9500</v>
      </c>
      <c r="I17" s="35">
        <f t="shared" si="9"/>
        <v>7000</v>
      </c>
    </row>
    <row r="18" spans="1:15">
      <c r="A18" s="133"/>
      <c r="B18" s="23" t="s">
        <v>51</v>
      </c>
      <c r="C18" s="35">
        <f>(((C15-C16)*0.95)*2)-C17*2</f>
        <v>79282.25</v>
      </c>
      <c r="D18" s="35">
        <f t="shared" ref="D18:I18" si="10">(((D15-D16)*0.95)*2)-D17*2</f>
        <v>88782.25</v>
      </c>
      <c r="E18" s="35">
        <f t="shared" si="10"/>
        <v>93532.25</v>
      </c>
      <c r="F18" s="35">
        <f t="shared" si="10"/>
        <v>97332.25</v>
      </c>
      <c r="G18" s="35">
        <f t="shared" si="10"/>
        <v>99232.25</v>
      </c>
      <c r="H18" s="35">
        <f t="shared" si="10"/>
        <v>101132.25</v>
      </c>
      <c r="I18" s="35">
        <f t="shared" si="10"/>
        <v>108032.25</v>
      </c>
    </row>
    <row r="19" spans="1:15">
      <c r="A19" s="133"/>
      <c r="B19" s="23" t="s">
        <v>52</v>
      </c>
      <c r="C19" s="35">
        <f>(C15-C16)-C17</f>
        <v>42227.5</v>
      </c>
      <c r="D19" s="35">
        <f t="shared" ref="D19:I19" si="11">(D15-D16)-D17</f>
        <v>47227.5</v>
      </c>
      <c r="E19" s="35">
        <f t="shared" si="11"/>
        <v>49727.5</v>
      </c>
      <c r="F19" s="35">
        <f t="shared" si="11"/>
        <v>51727.5</v>
      </c>
      <c r="G19" s="35">
        <f t="shared" si="11"/>
        <v>52727.5</v>
      </c>
      <c r="H19" s="35">
        <f t="shared" si="11"/>
        <v>53727.5</v>
      </c>
      <c r="I19" s="35">
        <f t="shared" si="11"/>
        <v>57227.5</v>
      </c>
    </row>
    <row r="20" spans="1:15">
      <c r="A20" s="128" t="s">
        <v>13</v>
      </c>
      <c r="B20" s="128"/>
      <c r="C20" s="35">
        <f t="shared" ref="C20:I20" si="12">SUM(C8,C13,C18)</f>
        <v>223017.25</v>
      </c>
      <c r="D20" s="35">
        <f t="shared" si="12"/>
        <v>251517.25</v>
      </c>
      <c r="E20" s="35">
        <f t="shared" si="12"/>
        <v>265767.25</v>
      </c>
      <c r="F20" s="35">
        <f t="shared" si="12"/>
        <v>277167.25</v>
      </c>
      <c r="G20" s="35">
        <f t="shared" si="12"/>
        <v>282867.25</v>
      </c>
      <c r="H20" s="35">
        <f t="shared" si="12"/>
        <v>288567.25</v>
      </c>
      <c r="I20" s="35">
        <f t="shared" si="12"/>
        <v>309267.25</v>
      </c>
    </row>
    <row r="21" spans="1:15">
      <c r="A21" s="103"/>
      <c r="B21" s="140"/>
      <c r="C21" s="141"/>
      <c r="D21" s="141"/>
      <c r="E21" s="141"/>
      <c r="F21" s="141"/>
      <c r="G21" s="141"/>
      <c r="H21" s="141"/>
      <c r="I21" s="141"/>
    </row>
    <row r="22" spans="1:15" ht="28" customHeight="1">
      <c r="A22" s="132" t="s">
        <v>46</v>
      </c>
      <c r="B22" s="8" t="s">
        <v>15</v>
      </c>
      <c r="C22" s="1">
        <f>C5*0.75</f>
        <v>46575</v>
      </c>
      <c r="D22" s="1">
        <f t="shared" ref="D22:I22" si="13">C22</f>
        <v>46575</v>
      </c>
      <c r="E22" s="1">
        <f t="shared" si="13"/>
        <v>46575</v>
      </c>
      <c r="F22" s="1">
        <f t="shared" si="13"/>
        <v>46575</v>
      </c>
      <c r="G22" s="1">
        <f t="shared" si="13"/>
        <v>46575</v>
      </c>
      <c r="H22" s="1">
        <f t="shared" si="13"/>
        <v>46575</v>
      </c>
      <c r="I22" s="1">
        <f t="shared" si="13"/>
        <v>46575</v>
      </c>
      <c r="J22" s="10"/>
      <c r="K22" s="10"/>
      <c r="L22" s="10"/>
      <c r="M22" s="10"/>
      <c r="N22" s="10"/>
      <c r="O22" s="10"/>
    </row>
    <row r="23" spans="1:15">
      <c r="A23" s="133"/>
      <c r="B23" s="8" t="s">
        <v>11</v>
      </c>
      <c r="C23" s="1">
        <v>15000</v>
      </c>
      <c r="D23" s="1">
        <v>10000</v>
      </c>
      <c r="E23" s="1">
        <v>7500</v>
      </c>
      <c r="F23" s="1">
        <v>5500</v>
      </c>
      <c r="G23" s="1">
        <v>4500</v>
      </c>
      <c r="H23" s="1">
        <v>3500</v>
      </c>
      <c r="I23" s="1">
        <v>2500</v>
      </c>
    </row>
    <row r="24" spans="1:15">
      <c r="A24" s="133"/>
      <c r="B24" s="30" t="s">
        <v>51</v>
      </c>
      <c r="C24" s="31">
        <f>((C22-C23)*0.95)*2</f>
        <v>59992.5</v>
      </c>
      <c r="D24" s="31">
        <f t="shared" ref="D24:I24" si="14">((D22-D23)*0.95)*2</f>
        <v>69492.5</v>
      </c>
      <c r="E24" s="31">
        <f t="shared" si="14"/>
        <v>74242.5</v>
      </c>
      <c r="F24" s="31">
        <f t="shared" si="14"/>
        <v>78042.5</v>
      </c>
      <c r="G24" s="31">
        <f t="shared" si="14"/>
        <v>79942.5</v>
      </c>
      <c r="H24" s="31">
        <f t="shared" si="14"/>
        <v>81842.5</v>
      </c>
      <c r="I24" s="31">
        <f t="shared" si="14"/>
        <v>83742.5</v>
      </c>
      <c r="J24" s="10"/>
      <c r="K24" s="10"/>
      <c r="L24" s="10"/>
      <c r="M24" s="10"/>
      <c r="N24" s="10"/>
      <c r="O24" s="10"/>
    </row>
    <row r="25" spans="1:15">
      <c r="A25" s="133"/>
      <c r="B25" s="21" t="s">
        <v>52</v>
      </c>
      <c r="C25" s="31">
        <f>(C22-C23)</f>
        <v>31575</v>
      </c>
      <c r="D25" s="31">
        <f t="shared" ref="D25:I25" si="15">(D22-D23)</f>
        <v>36575</v>
      </c>
      <c r="E25" s="31">
        <f t="shared" si="15"/>
        <v>39075</v>
      </c>
      <c r="F25" s="31">
        <f t="shared" si="15"/>
        <v>41075</v>
      </c>
      <c r="G25" s="31">
        <f t="shared" si="15"/>
        <v>42075</v>
      </c>
      <c r="H25" s="31">
        <f t="shared" si="15"/>
        <v>43075</v>
      </c>
      <c r="I25" s="31">
        <f t="shared" si="15"/>
        <v>44075</v>
      </c>
      <c r="J25" s="10"/>
      <c r="K25" s="10"/>
      <c r="L25" s="10"/>
      <c r="M25" s="10"/>
      <c r="N25" s="10"/>
      <c r="O25" s="10"/>
    </row>
    <row r="26" spans="1:15" ht="24" customHeight="1">
      <c r="A26" s="132" t="s">
        <v>47</v>
      </c>
      <c r="B26" s="8" t="s">
        <v>15</v>
      </c>
      <c r="C26" s="1">
        <f>C10*0.75</f>
        <v>47662.5</v>
      </c>
      <c r="D26" s="1">
        <f t="shared" ref="D26:I26" si="16">C26</f>
        <v>47662.5</v>
      </c>
      <c r="E26" s="1">
        <f t="shared" si="16"/>
        <v>47662.5</v>
      </c>
      <c r="F26" s="1">
        <f t="shared" si="16"/>
        <v>47662.5</v>
      </c>
      <c r="G26" s="1">
        <f t="shared" si="16"/>
        <v>47662.5</v>
      </c>
      <c r="H26" s="1">
        <f t="shared" si="16"/>
        <v>47662.5</v>
      </c>
      <c r="I26" s="1">
        <f t="shared" si="16"/>
        <v>47662.5</v>
      </c>
    </row>
    <row r="27" spans="1:15">
      <c r="A27" s="133"/>
      <c r="B27" s="8" t="s">
        <v>11</v>
      </c>
      <c r="C27" s="1">
        <f t="shared" ref="C27:I27" si="17">C23</f>
        <v>15000</v>
      </c>
      <c r="D27" s="1">
        <f t="shared" si="17"/>
        <v>10000</v>
      </c>
      <c r="E27" s="1">
        <f t="shared" si="17"/>
        <v>7500</v>
      </c>
      <c r="F27" s="1">
        <f t="shared" si="17"/>
        <v>5500</v>
      </c>
      <c r="G27" s="1">
        <f t="shared" si="17"/>
        <v>4500</v>
      </c>
      <c r="H27" s="1">
        <f t="shared" si="17"/>
        <v>3500</v>
      </c>
      <c r="I27" s="1">
        <f t="shared" si="17"/>
        <v>2500</v>
      </c>
    </row>
    <row r="28" spans="1:15">
      <c r="A28" s="133"/>
      <c r="B28" s="32" t="s">
        <v>51</v>
      </c>
      <c r="C28" s="33">
        <f>((C26-C27)*0.95)*2</f>
        <v>62058.75</v>
      </c>
      <c r="D28" s="33">
        <f t="shared" ref="D28:I28" si="18">((D26-D27)*0.95)*2</f>
        <v>71558.75</v>
      </c>
      <c r="E28" s="33">
        <f t="shared" si="18"/>
        <v>76308.75</v>
      </c>
      <c r="F28" s="33">
        <f t="shared" si="18"/>
        <v>80108.75</v>
      </c>
      <c r="G28" s="33">
        <f t="shared" si="18"/>
        <v>82008.75</v>
      </c>
      <c r="H28" s="33">
        <f t="shared" si="18"/>
        <v>83908.75</v>
      </c>
      <c r="I28" s="33">
        <f t="shared" si="18"/>
        <v>85808.75</v>
      </c>
    </row>
    <row r="29" spans="1:15">
      <c r="A29" s="133"/>
      <c r="B29" s="22" t="s">
        <v>52</v>
      </c>
      <c r="C29" s="33">
        <f>(C26-C27)</f>
        <v>32662.5</v>
      </c>
      <c r="D29" s="33">
        <f t="shared" ref="D29:I29" si="19">(D26-D27)</f>
        <v>37662.5</v>
      </c>
      <c r="E29" s="33">
        <f t="shared" si="19"/>
        <v>40162.5</v>
      </c>
      <c r="F29" s="33">
        <f t="shared" si="19"/>
        <v>42162.5</v>
      </c>
      <c r="G29" s="33">
        <f t="shared" si="19"/>
        <v>43162.5</v>
      </c>
      <c r="H29" s="33">
        <f t="shared" si="19"/>
        <v>44162.5</v>
      </c>
      <c r="I29" s="33">
        <f t="shared" si="19"/>
        <v>45162.5</v>
      </c>
    </row>
    <row r="30" spans="1:15">
      <c r="A30" s="132" t="s">
        <v>48</v>
      </c>
      <c r="B30" s="8" t="s">
        <v>15</v>
      </c>
      <c r="C30" s="1">
        <f>C26*1.05</f>
        <v>50045.625</v>
      </c>
      <c r="D30" s="1">
        <f t="shared" ref="D30:I30" si="20">C30</f>
        <v>50045.625</v>
      </c>
      <c r="E30" s="1">
        <f t="shared" si="20"/>
        <v>50045.625</v>
      </c>
      <c r="F30" s="1">
        <f t="shared" si="20"/>
        <v>50045.625</v>
      </c>
      <c r="G30" s="1">
        <f t="shared" si="20"/>
        <v>50045.625</v>
      </c>
      <c r="H30" s="1">
        <f t="shared" si="20"/>
        <v>50045.625</v>
      </c>
      <c r="I30" s="1">
        <f t="shared" si="20"/>
        <v>50045.625</v>
      </c>
    </row>
    <row r="31" spans="1:15">
      <c r="A31" s="133"/>
      <c r="B31" s="8" t="s">
        <v>11</v>
      </c>
      <c r="C31" s="1">
        <f t="shared" ref="C31:I31" si="21">C27</f>
        <v>15000</v>
      </c>
      <c r="D31" s="1">
        <f t="shared" si="21"/>
        <v>10000</v>
      </c>
      <c r="E31" s="1">
        <f t="shared" si="21"/>
        <v>7500</v>
      </c>
      <c r="F31" s="1">
        <f t="shared" si="21"/>
        <v>5500</v>
      </c>
      <c r="G31" s="1">
        <f t="shared" si="21"/>
        <v>4500</v>
      </c>
      <c r="H31" s="1">
        <f t="shared" si="21"/>
        <v>3500</v>
      </c>
      <c r="I31" s="1">
        <f t="shared" si="21"/>
        <v>2500</v>
      </c>
    </row>
    <row r="32" spans="1:15">
      <c r="A32" s="133"/>
      <c r="B32" s="34" t="s">
        <v>51</v>
      </c>
      <c r="C32" s="35">
        <f>((C30-C31)*0.95)*2</f>
        <v>66586.6875</v>
      </c>
      <c r="D32" s="35">
        <f t="shared" ref="D32:I32" si="22">((D30-D31)*0.95)*2</f>
        <v>76086.6875</v>
      </c>
      <c r="E32" s="35">
        <f t="shared" si="22"/>
        <v>80836.6875</v>
      </c>
      <c r="F32" s="35">
        <f t="shared" si="22"/>
        <v>84636.6875</v>
      </c>
      <c r="G32" s="35">
        <f t="shared" si="22"/>
        <v>86536.6875</v>
      </c>
      <c r="H32" s="35">
        <f t="shared" si="22"/>
        <v>88436.6875</v>
      </c>
      <c r="I32" s="35">
        <f t="shared" si="22"/>
        <v>90336.6875</v>
      </c>
    </row>
    <row r="33" spans="1:9">
      <c r="A33" s="133"/>
      <c r="B33" s="23" t="s">
        <v>52</v>
      </c>
      <c r="C33" s="35">
        <f>(C30-C31)</f>
        <v>35045.625</v>
      </c>
      <c r="D33" s="35">
        <f t="shared" ref="D33:I33" si="23">(D30-D31)</f>
        <v>40045.625</v>
      </c>
      <c r="E33" s="35">
        <f t="shared" si="23"/>
        <v>42545.625</v>
      </c>
      <c r="F33" s="35">
        <f t="shared" si="23"/>
        <v>44545.625</v>
      </c>
      <c r="G33" s="35">
        <f t="shared" si="23"/>
        <v>45545.625</v>
      </c>
      <c r="H33" s="35">
        <f t="shared" si="23"/>
        <v>46545.625</v>
      </c>
      <c r="I33" s="35">
        <f t="shared" si="23"/>
        <v>47545.625</v>
      </c>
    </row>
    <row r="34" spans="1:9">
      <c r="A34" s="128" t="s">
        <v>13</v>
      </c>
      <c r="B34" s="128"/>
      <c r="C34" s="35">
        <f t="shared" ref="C34:I34" si="24">SUM(C24,C28,C32)</f>
        <v>188637.9375</v>
      </c>
      <c r="D34" s="35">
        <f t="shared" si="24"/>
        <v>217137.9375</v>
      </c>
      <c r="E34" s="35">
        <f t="shared" si="24"/>
        <v>231387.9375</v>
      </c>
      <c r="F34" s="35">
        <f t="shared" si="24"/>
        <v>242787.9375</v>
      </c>
      <c r="G34" s="35">
        <f t="shared" si="24"/>
        <v>248487.9375</v>
      </c>
      <c r="H34" s="35">
        <f t="shared" si="24"/>
        <v>254187.9375</v>
      </c>
      <c r="I34" s="35">
        <f t="shared" si="24"/>
        <v>259887.9375</v>
      </c>
    </row>
    <row r="35" spans="1:9" ht="16" customHeight="1">
      <c r="A35" s="105" t="s">
        <v>16</v>
      </c>
      <c r="B35" s="105"/>
      <c r="C35" s="105"/>
      <c r="D35" s="105"/>
      <c r="E35" s="105"/>
      <c r="F35" s="105"/>
      <c r="G35" s="105"/>
      <c r="H35" s="105"/>
      <c r="I35" s="105"/>
    </row>
    <row r="36" spans="1:9" ht="4" customHeight="1">
      <c r="A36" s="105"/>
      <c r="B36" s="105"/>
      <c r="C36" s="105"/>
      <c r="D36" s="105"/>
      <c r="E36" s="105"/>
      <c r="F36" s="105"/>
      <c r="G36" s="105"/>
      <c r="H36" s="105"/>
      <c r="I36" s="105"/>
    </row>
    <row r="37" spans="1:9" ht="2.0499999999999998" customHeight="1">
      <c r="A37" s="105"/>
      <c r="B37" s="105"/>
      <c r="C37" s="105"/>
      <c r="D37" s="105"/>
      <c r="E37" s="105"/>
      <c r="F37" s="105"/>
      <c r="G37" s="105"/>
      <c r="H37" s="105"/>
      <c r="I37" s="105"/>
    </row>
    <row r="38" spans="1:9">
      <c r="A38" s="121" t="s">
        <v>17</v>
      </c>
      <c r="B38" s="122"/>
      <c r="C38" s="118" t="s">
        <v>18</v>
      </c>
      <c r="D38" s="118"/>
      <c r="E38" s="2">
        <v>5000</v>
      </c>
      <c r="F38" s="3"/>
      <c r="G38" s="4"/>
    </row>
    <row r="39" spans="1:9">
      <c r="A39" s="123"/>
      <c r="B39" s="124"/>
      <c r="C39" s="119" t="s">
        <v>19</v>
      </c>
      <c r="D39" s="119"/>
      <c r="E39" s="5">
        <v>3000</v>
      </c>
      <c r="F39" s="3"/>
      <c r="G39" s="4"/>
    </row>
    <row r="40" spans="1:9" ht="16.3" thickBot="1">
      <c r="A40" s="142"/>
      <c r="B40" s="143"/>
      <c r="C40" s="144" t="s">
        <v>20</v>
      </c>
      <c r="D40" s="144"/>
      <c r="E40" s="5">
        <v>3000</v>
      </c>
      <c r="F40" s="6"/>
      <c r="G40" s="7"/>
    </row>
    <row r="41" spans="1:9">
      <c r="A41" s="127" t="s">
        <v>82</v>
      </c>
      <c r="B41" s="127"/>
      <c r="C41" s="128" t="s">
        <v>30</v>
      </c>
      <c r="D41" s="128"/>
      <c r="E41" s="8">
        <v>18500</v>
      </c>
      <c r="F41" s="115"/>
      <c r="G41" s="115"/>
      <c r="H41" s="115"/>
      <c r="I41" s="129"/>
    </row>
    <row r="42" spans="1:9" ht="16.3" thickBot="1">
      <c r="A42" s="127"/>
      <c r="B42" s="127"/>
      <c r="C42" s="128" t="s">
        <v>31</v>
      </c>
      <c r="D42" s="128"/>
      <c r="E42" s="8">
        <v>9750</v>
      </c>
      <c r="F42" s="117"/>
      <c r="G42" s="117"/>
      <c r="H42" s="117"/>
      <c r="I42" s="130"/>
    </row>
    <row r="43" spans="1:9" ht="23.15">
      <c r="A43" s="17" t="s">
        <v>21</v>
      </c>
      <c r="B43" s="18" t="s">
        <v>22</v>
      </c>
      <c r="C43" s="39" t="s">
        <v>23</v>
      </c>
      <c r="D43" s="39" t="s">
        <v>24</v>
      </c>
      <c r="E43" s="39" t="s">
        <v>25</v>
      </c>
      <c r="F43" s="19" t="s">
        <v>26</v>
      </c>
      <c r="G43" s="18" t="s">
        <v>27</v>
      </c>
      <c r="H43" s="18" t="s">
        <v>28</v>
      </c>
      <c r="I43" s="18" t="s">
        <v>29</v>
      </c>
    </row>
    <row r="44" spans="1:9">
      <c r="A44" s="9" t="s">
        <v>30</v>
      </c>
      <c r="B44" s="5">
        <f>B45*2</f>
        <v>7000</v>
      </c>
      <c r="C44" s="5">
        <f t="shared" ref="C44:H44" si="25">C45*2</f>
        <v>5000</v>
      </c>
      <c r="D44" s="5">
        <f>1000</f>
        <v>1000</v>
      </c>
      <c r="E44" s="5">
        <f t="shared" si="25"/>
        <v>1500</v>
      </c>
      <c r="F44" s="5">
        <f t="shared" si="25"/>
        <v>1000</v>
      </c>
      <c r="G44" s="5">
        <f t="shared" si="25"/>
        <v>1000</v>
      </c>
      <c r="H44" s="5">
        <f t="shared" si="25"/>
        <v>2000</v>
      </c>
      <c r="I44" s="5">
        <f>SUM(B44:H44)</f>
        <v>18500</v>
      </c>
    </row>
    <row r="45" spans="1:9">
      <c r="A45" s="9" t="s">
        <v>31</v>
      </c>
      <c r="B45" s="5">
        <v>3500</v>
      </c>
      <c r="C45" s="5">
        <v>2500</v>
      </c>
      <c r="D45" s="14">
        <v>1000</v>
      </c>
      <c r="E45" s="14">
        <v>750</v>
      </c>
      <c r="F45" s="14">
        <v>500</v>
      </c>
      <c r="G45" s="5">
        <v>500</v>
      </c>
      <c r="H45" s="5">
        <v>1000</v>
      </c>
      <c r="I45" s="5">
        <f>SUM(B45:H45)</f>
        <v>9750</v>
      </c>
    </row>
    <row r="46" spans="1:9">
      <c r="A46" s="104" t="s">
        <v>54</v>
      </c>
      <c r="B46" s="104"/>
      <c r="C46" s="104"/>
      <c r="D46" s="104"/>
      <c r="E46" s="104"/>
      <c r="F46" s="104"/>
      <c r="G46" s="104"/>
      <c r="H46" s="104"/>
      <c r="I46" s="104"/>
    </row>
    <row r="47" spans="1:9">
      <c r="A47" s="104" t="s">
        <v>55</v>
      </c>
      <c r="B47" s="104"/>
      <c r="C47" s="104"/>
      <c r="D47" s="104"/>
      <c r="E47" s="104"/>
      <c r="F47" s="104"/>
      <c r="G47" s="104"/>
      <c r="H47" s="104"/>
      <c r="I47" s="104"/>
    </row>
    <row r="48" spans="1:9" ht="39" customHeight="1">
      <c r="A48" s="104" t="s">
        <v>56</v>
      </c>
      <c r="B48" s="104"/>
      <c r="C48" s="104"/>
      <c r="D48" s="104"/>
      <c r="E48" s="104"/>
      <c r="F48" s="104"/>
      <c r="G48" s="104"/>
      <c r="H48" s="104"/>
      <c r="I48" s="104"/>
    </row>
    <row r="49" spans="1:9">
      <c r="A49" s="104" t="s">
        <v>32</v>
      </c>
      <c r="B49" s="104"/>
      <c r="C49" s="104"/>
      <c r="D49" s="104"/>
      <c r="E49" s="104"/>
      <c r="F49" s="104"/>
      <c r="G49" s="104"/>
      <c r="H49" s="104"/>
      <c r="I49" s="104"/>
    </row>
    <row r="50" spans="1:9">
      <c r="A50" s="104" t="s">
        <v>85</v>
      </c>
      <c r="B50" s="104"/>
      <c r="C50" s="104"/>
      <c r="D50" s="104"/>
      <c r="E50" s="104"/>
      <c r="F50" s="104"/>
      <c r="G50" s="104"/>
      <c r="H50" s="104"/>
      <c r="I50" s="104"/>
    </row>
    <row r="51" spans="1:9">
      <c r="A51" s="104" t="s">
        <v>9</v>
      </c>
      <c r="B51" s="104"/>
      <c r="C51" s="104"/>
      <c r="D51" s="104"/>
      <c r="E51" s="104"/>
      <c r="F51" s="104"/>
      <c r="G51" s="104"/>
      <c r="H51" s="104"/>
      <c r="I51" s="104"/>
    </row>
  </sheetData>
  <mergeCells count="27">
    <mergeCell ref="A35:I37"/>
    <mergeCell ref="A46:I46"/>
    <mergeCell ref="A47:I47"/>
    <mergeCell ref="A38:B40"/>
    <mergeCell ref="C38:D38"/>
    <mergeCell ref="C39:D39"/>
    <mergeCell ref="C40:D40"/>
    <mergeCell ref="A41:B42"/>
    <mergeCell ref="C41:D41"/>
    <mergeCell ref="F41:I42"/>
    <mergeCell ref="C42:D42"/>
    <mergeCell ref="A51:I51"/>
    <mergeCell ref="A1:I1"/>
    <mergeCell ref="A2:I2"/>
    <mergeCell ref="A5:A9"/>
    <mergeCell ref="A10:A14"/>
    <mergeCell ref="A15:A19"/>
    <mergeCell ref="A20:B20"/>
    <mergeCell ref="A22:A25"/>
    <mergeCell ref="A26:A29"/>
    <mergeCell ref="A4:I4"/>
    <mergeCell ref="B21:I21"/>
    <mergeCell ref="A48:I48"/>
    <mergeCell ref="A49:I49"/>
    <mergeCell ref="A50:I50"/>
    <mergeCell ref="A30:A33"/>
    <mergeCell ref="A34:B34"/>
  </mergeCells>
  <pageMargins left="0.7" right="0.7" top="0.75" bottom="0.75" header="0.3" footer="0.3"/>
  <pageSetup paperSize="9" scale="4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A711-F0A0-CF46-82DD-E9DA7B7A0FDE}">
  <sheetPr>
    <pageSetUpPr fitToPage="1"/>
  </sheetPr>
  <dimension ref="A1:O60"/>
  <sheetViews>
    <sheetView zoomScale="56" workbookViewId="0">
      <selection activeCell="A3" sqref="A3"/>
    </sheetView>
  </sheetViews>
  <sheetFormatPr defaultColWidth="8.85546875" defaultRowHeight="15.9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9" width="16.640625" customWidth="1"/>
  </cols>
  <sheetData>
    <row r="1" spans="1:15">
      <c r="A1" s="147" t="s">
        <v>94</v>
      </c>
      <c r="B1" s="148"/>
      <c r="C1" s="148"/>
      <c r="D1" s="148"/>
      <c r="E1" s="148"/>
      <c r="F1" s="148"/>
      <c r="G1" s="148"/>
      <c r="H1" s="148"/>
      <c r="I1" s="148"/>
    </row>
    <row r="2" spans="1:15" ht="90" customHeight="1">
      <c r="A2" s="145" t="s">
        <v>99</v>
      </c>
      <c r="B2" s="146"/>
      <c r="C2" s="146"/>
      <c r="D2" s="146"/>
      <c r="E2" s="146"/>
      <c r="F2" s="146"/>
      <c r="G2" s="146"/>
      <c r="H2" s="146"/>
      <c r="I2" s="146"/>
    </row>
    <row r="3" spans="1:15" ht="85.3" customHeight="1">
      <c r="A3" s="15" t="s">
        <v>1</v>
      </c>
      <c r="B3" s="16" t="s">
        <v>2</v>
      </c>
      <c r="C3" s="15" t="s">
        <v>37</v>
      </c>
      <c r="D3" s="15" t="s">
        <v>38</v>
      </c>
      <c r="E3" s="15" t="s">
        <v>39</v>
      </c>
      <c r="F3" s="15" t="s">
        <v>40</v>
      </c>
      <c r="G3" s="15" t="s">
        <v>41</v>
      </c>
      <c r="H3" s="15" t="s">
        <v>42</v>
      </c>
      <c r="I3" s="15" t="s">
        <v>78</v>
      </c>
    </row>
    <row r="4" spans="1:15" ht="85.3" customHeight="1">
      <c r="A4" s="106" t="s">
        <v>0</v>
      </c>
      <c r="B4" s="107"/>
      <c r="C4" s="107"/>
      <c r="D4" s="107"/>
      <c r="E4" s="107"/>
      <c r="F4" s="107"/>
      <c r="G4" s="107"/>
      <c r="H4" s="107"/>
      <c r="I4" s="108"/>
    </row>
    <row r="5" spans="1:15">
      <c r="A5" s="132" t="s">
        <v>46</v>
      </c>
      <c r="B5" s="8" t="s">
        <v>10</v>
      </c>
      <c r="C5" s="1">
        <v>62100</v>
      </c>
      <c r="D5" s="1">
        <f>C5</f>
        <v>62100</v>
      </c>
      <c r="E5" s="1">
        <f t="shared" ref="E5:I5" si="0">D5</f>
        <v>62100</v>
      </c>
      <c r="F5" s="1">
        <f t="shared" si="0"/>
        <v>62100</v>
      </c>
      <c r="G5" s="1">
        <f t="shared" si="0"/>
        <v>62100</v>
      </c>
      <c r="H5" s="1">
        <f t="shared" si="0"/>
        <v>62100</v>
      </c>
      <c r="I5" s="1">
        <f t="shared" si="0"/>
        <v>62100</v>
      </c>
    </row>
    <row r="6" spans="1:15">
      <c r="A6" s="133"/>
      <c r="B6" s="8" t="s">
        <v>11</v>
      </c>
      <c r="C6" s="1">
        <v>15000</v>
      </c>
      <c r="D6" s="1">
        <v>10000</v>
      </c>
      <c r="E6" s="1">
        <v>7500</v>
      </c>
      <c r="F6" s="1">
        <v>5500</v>
      </c>
      <c r="G6" s="1">
        <v>4500</v>
      </c>
      <c r="H6" s="1">
        <v>3500</v>
      </c>
      <c r="I6" s="1">
        <v>2500</v>
      </c>
    </row>
    <row r="7" spans="1:15">
      <c r="A7" s="133"/>
      <c r="B7" s="30" t="s">
        <v>53</v>
      </c>
      <c r="C7" s="31">
        <v>9500</v>
      </c>
      <c r="D7" s="31">
        <f>C7</f>
        <v>9500</v>
      </c>
      <c r="E7" s="31">
        <f t="shared" ref="E7:H7" si="1">D7</f>
        <v>9500</v>
      </c>
      <c r="F7" s="31">
        <f t="shared" si="1"/>
        <v>9500</v>
      </c>
      <c r="G7" s="31">
        <f t="shared" si="1"/>
        <v>9500</v>
      </c>
      <c r="H7" s="31">
        <f t="shared" si="1"/>
        <v>9500</v>
      </c>
      <c r="I7" s="31">
        <v>7000</v>
      </c>
    </row>
    <row r="8" spans="1:15">
      <c r="A8" s="133"/>
      <c r="B8" s="21" t="s">
        <v>51</v>
      </c>
      <c r="C8" s="31">
        <f>(((C5-C6)*0.95)*2)-C7*2</f>
        <v>70490</v>
      </c>
      <c r="D8" s="31">
        <f t="shared" ref="D8:I8" si="2">(((D5-D6)*0.95)*2)-D7*2</f>
        <v>79990</v>
      </c>
      <c r="E8" s="31">
        <f t="shared" si="2"/>
        <v>84740</v>
      </c>
      <c r="F8" s="31">
        <f t="shared" si="2"/>
        <v>88540</v>
      </c>
      <c r="G8" s="31">
        <f t="shared" si="2"/>
        <v>90440</v>
      </c>
      <c r="H8" s="31">
        <f t="shared" si="2"/>
        <v>92340</v>
      </c>
      <c r="I8" s="31">
        <f t="shared" si="2"/>
        <v>99240</v>
      </c>
      <c r="J8" s="10"/>
      <c r="K8" s="10"/>
      <c r="L8" s="10"/>
      <c r="M8" s="10"/>
      <c r="N8" s="10"/>
      <c r="O8" s="10"/>
    </row>
    <row r="9" spans="1:15">
      <c r="A9" s="133"/>
      <c r="B9" s="21" t="s">
        <v>52</v>
      </c>
      <c r="C9" s="31">
        <f>(C5-C6)-C7</f>
        <v>37600</v>
      </c>
      <c r="D9" s="31">
        <f t="shared" ref="D9:I9" si="3">(D5-D6)-D7</f>
        <v>42600</v>
      </c>
      <c r="E9" s="31">
        <f t="shared" si="3"/>
        <v>45100</v>
      </c>
      <c r="F9" s="31">
        <f t="shared" si="3"/>
        <v>47100</v>
      </c>
      <c r="G9" s="31">
        <f t="shared" si="3"/>
        <v>48100</v>
      </c>
      <c r="H9" s="31">
        <f t="shared" si="3"/>
        <v>49100</v>
      </c>
      <c r="I9" s="31">
        <f t="shared" si="3"/>
        <v>52600</v>
      </c>
      <c r="J9" s="10"/>
      <c r="K9" s="10"/>
      <c r="L9" s="10"/>
      <c r="M9" s="10"/>
      <c r="N9" s="10"/>
      <c r="O9" s="10"/>
    </row>
    <row r="10" spans="1:15" ht="16" customHeight="1">
      <c r="A10" s="132" t="s">
        <v>47</v>
      </c>
      <c r="B10" s="8" t="s">
        <v>12</v>
      </c>
      <c r="C10" s="1">
        <v>63550</v>
      </c>
      <c r="D10" s="1">
        <f t="shared" ref="D10:I10" si="4">C10</f>
        <v>63550</v>
      </c>
      <c r="E10" s="1">
        <f t="shared" si="4"/>
        <v>63550</v>
      </c>
      <c r="F10" s="1">
        <f t="shared" si="4"/>
        <v>63550</v>
      </c>
      <c r="G10" s="1">
        <f t="shared" si="4"/>
        <v>63550</v>
      </c>
      <c r="H10" s="1">
        <f t="shared" si="4"/>
        <v>63550</v>
      </c>
      <c r="I10" s="1">
        <f t="shared" si="4"/>
        <v>63550</v>
      </c>
    </row>
    <row r="11" spans="1:15">
      <c r="A11" s="133"/>
      <c r="B11" s="8" t="s">
        <v>11</v>
      </c>
      <c r="C11" s="1">
        <f t="shared" ref="C11:I12" si="5">C6</f>
        <v>15000</v>
      </c>
      <c r="D11" s="1">
        <f t="shared" si="5"/>
        <v>10000</v>
      </c>
      <c r="E11" s="1">
        <f t="shared" si="5"/>
        <v>7500</v>
      </c>
      <c r="F11" s="1">
        <f t="shared" si="5"/>
        <v>5500</v>
      </c>
      <c r="G11" s="1">
        <f t="shared" si="5"/>
        <v>4500</v>
      </c>
      <c r="H11" s="1">
        <f t="shared" si="5"/>
        <v>3500</v>
      </c>
      <c r="I11" s="1">
        <f t="shared" si="5"/>
        <v>2500</v>
      </c>
    </row>
    <row r="12" spans="1:15">
      <c r="A12" s="133"/>
      <c r="B12" s="32" t="s">
        <v>53</v>
      </c>
      <c r="C12" s="33">
        <f>C7</f>
        <v>9500</v>
      </c>
      <c r="D12" s="33">
        <f t="shared" si="5"/>
        <v>9500</v>
      </c>
      <c r="E12" s="33">
        <f t="shared" si="5"/>
        <v>9500</v>
      </c>
      <c r="F12" s="33">
        <f t="shared" si="5"/>
        <v>9500</v>
      </c>
      <c r="G12" s="33">
        <f t="shared" si="5"/>
        <v>9500</v>
      </c>
      <c r="H12" s="33">
        <f t="shared" si="5"/>
        <v>9500</v>
      </c>
      <c r="I12" s="33">
        <f t="shared" si="5"/>
        <v>7000</v>
      </c>
    </row>
    <row r="13" spans="1:15">
      <c r="A13" s="133"/>
      <c r="B13" s="22" t="s">
        <v>51</v>
      </c>
      <c r="C13" s="33">
        <f>(((C10-C11)*0.95)*2)-C12*2</f>
        <v>73245</v>
      </c>
      <c r="D13" s="33">
        <f t="shared" ref="D13:I13" si="6">(((D10-D11)*0.95)*2)-D12*2</f>
        <v>82745</v>
      </c>
      <c r="E13" s="33">
        <f t="shared" si="6"/>
        <v>87495</v>
      </c>
      <c r="F13" s="33">
        <f t="shared" si="6"/>
        <v>91295</v>
      </c>
      <c r="G13" s="33">
        <f t="shared" si="6"/>
        <v>93195</v>
      </c>
      <c r="H13" s="33">
        <f t="shared" si="6"/>
        <v>95095</v>
      </c>
      <c r="I13" s="33">
        <f t="shared" si="6"/>
        <v>101995</v>
      </c>
    </row>
    <row r="14" spans="1:15">
      <c r="A14" s="133"/>
      <c r="B14" s="22" t="s">
        <v>52</v>
      </c>
      <c r="C14" s="33">
        <f>(C10-C11)-C12</f>
        <v>39050</v>
      </c>
      <c r="D14" s="33">
        <f t="shared" ref="D14:I14" si="7">(D10-D11)-D12</f>
        <v>44050</v>
      </c>
      <c r="E14" s="33">
        <f t="shared" si="7"/>
        <v>46550</v>
      </c>
      <c r="F14" s="33">
        <f t="shared" si="7"/>
        <v>48550</v>
      </c>
      <c r="G14" s="33">
        <f t="shared" si="7"/>
        <v>49550</v>
      </c>
      <c r="H14" s="33">
        <f t="shared" si="7"/>
        <v>50550</v>
      </c>
      <c r="I14" s="33">
        <f t="shared" si="7"/>
        <v>54050</v>
      </c>
    </row>
    <row r="15" spans="1:15">
      <c r="A15" s="132" t="s">
        <v>48</v>
      </c>
      <c r="B15" s="8" t="s">
        <v>12</v>
      </c>
      <c r="C15" s="1">
        <f>C10*1.05</f>
        <v>66727.5</v>
      </c>
      <c r="D15" s="1">
        <f t="shared" ref="D15:I15" si="8">C15</f>
        <v>66727.5</v>
      </c>
      <c r="E15" s="1">
        <f t="shared" si="8"/>
        <v>66727.5</v>
      </c>
      <c r="F15" s="1">
        <f t="shared" si="8"/>
        <v>66727.5</v>
      </c>
      <c r="G15" s="1">
        <f t="shared" si="8"/>
        <v>66727.5</v>
      </c>
      <c r="H15" s="1">
        <f t="shared" si="8"/>
        <v>66727.5</v>
      </c>
      <c r="I15" s="1">
        <f t="shared" si="8"/>
        <v>66727.5</v>
      </c>
    </row>
    <row r="16" spans="1:15">
      <c r="A16" s="133"/>
      <c r="B16" s="8" t="s">
        <v>11</v>
      </c>
      <c r="C16" s="1">
        <f t="shared" ref="C16:I17" si="9">C11</f>
        <v>15000</v>
      </c>
      <c r="D16" s="1">
        <f t="shared" si="9"/>
        <v>10000</v>
      </c>
      <c r="E16" s="1">
        <f t="shared" si="9"/>
        <v>7500</v>
      </c>
      <c r="F16" s="1">
        <f t="shared" si="9"/>
        <v>5500</v>
      </c>
      <c r="G16" s="1">
        <f t="shared" si="9"/>
        <v>4500</v>
      </c>
      <c r="H16" s="1">
        <f t="shared" si="9"/>
        <v>3500</v>
      </c>
      <c r="I16" s="1">
        <f t="shared" si="9"/>
        <v>2500</v>
      </c>
    </row>
    <row r="17" spans="1:15">
      <c r="A17" s="133"/>
      <c r="B17" s="34" t="s">
        <v>53</v>
      </c>
      <c r="C17" s="35">
        <f>C12</f>
        <v>9500</v>
      </c>
      <c r="D17" s="35">
        <f t="shared" si="9"/>
        <v>9500</v>
      </c>
      <c r="E17" s="35">
        <f t="shared" si="9"/>
        <v>9500</v>
      </c>
      <c r="F17" s="35">
        <f t="shared" si="9"/>
        <v>9500</v>
      </c>
      <c r="G17" s="35">
        <f t="shared" si="9"/>
        <v>9500</v>
      </c>
      <c r="H17" s="35">
        <f t="shared" si="9"/>
        <v>9500</v>
      </c>
      <c r="I17" s="35">
        <f t="shared" si="9"/>
        <v>7000</v>
      </c>
    </row>
    <row r="18" spans="1:15">
      <c r="A18" s="133"/>
      <c r="B18" s="23" t="s">
        <v>51</v>
      </c>
      <c r="C18" s="35">
        <f>(((C15-C16)*0.95)*2)-C17*2</f>
        <v>79282.25</v>
      </c>
      <c r="D18" s="35">
        <f t="shared" ref="D18:I18" si="10">(((D15-D16)*0.95)*2)-D17*2</f>
        <v>88782.25</v>
      </c>
      <c r="E18" s="35">
        <f t="shared" si="10"/>
        <v>93532.25</v>
      </c>
      <c r="F18" s="35">
        <f t="shared" si="10"/>
        <v>97332.25</v>
      </c>
      <c r="G18" s="35">
        <f t="shared" si="10"/>
        <v>99232.25</v>
      </c>
      <c r="H18" s="35">
        <f t="shared" si="10"/>
        <v>101132.25</v>
      </c>
      <c r="I18" s="35">
        <f t="shared" si="10"/>
        <v>108032.25</v>
      </c>
    </row>
    <row r="19" spans="1:15">
      <c r="A19" s="133"/>
      <c r="B19" s="23" t="s">
        <v>52</v>
      </c>
      <c r="C19" s="35">
        <f>(C15-C16)-C17</f>
        <v>42227.5</v>
      </c>
      <c r="D19" s="35">
        <f t="shared" ref="D19:I19" si="11">(D15-D16)-D17</f>
        <v>47227.5</v>
      </c>
      <c r="E19" s="35">
        <f t="shared" si="11"/>
        <v>49727.5</v>
      </c>
      <c r="F19" s="35">
        <f t="shared" si="11"/>
        <v>51727.5</v>
      </c>
      <c r="G19" s="35">
        <f t="shared" si="11"/>
        <v>52727.5</v>
      </c>
      <c r="H19" s="35">
        <f t="shared" si="11"/>
        <v>53727.5</v>
      </c>
      <c r="I19" s="35">
        <f t="shared" si="11"/>
        <v>57227.5</v>
      </c>
    </row>
    <row r="20" spans="1:15">
      <c r="A20" s="132" t="s">
        <v>49</v>
      </c>
      <c r="B20" s="8" t="s">
        <v>12</v>
      </c>
      <c r="C20" s="1">
        <f>C15*1.05</f>
        <v>70063.875</v>
      </c>
      <c r="D20" s="1">
        <f t="shared" ref="D20" si="12">C20</f>
        <v>70063.875</v>
      </c>
      <c r="E20" s="1">
        <f t="shared" ref="E20" si="13">D20</f>
        <v>70063.875</v>
      </c>
      <c r="F20" s="1">
        <f t="shared" ref="F20" si="14">E20</f>
        <v>70063.875</v>
      </c>
      <c r="G20" s="1">
        <f t="shared" ref="G20" si="15">F20</f>
        <v>70063.875</v>
      </c>
      <c r="H20" s="1">
        <f t="shared" ref="H20" si="16">G20</f>
        <v>70063.875</v>
      </c>
      <c r="I20" s="1">
        <f t="shared" ref="I20" si="17">H20</f>
        <v>70063.875</v>
      </c>
    </row>
    <row r="21" spans="1:15">
      <c r="A21" s="133"/>
      <c r="B21" s="8" t="s">
        <v>11</v>
      </c>
      <c r="C21" s="1">
        <f t="shared" ref="C21:I21" si="18">C16</f>
        <v>15000</v>
      </c>
      <c r="D21" s="1">
        <f t="shared" si="18"/>
        <v>10000</v>
      </c>
      <c r="E21" s="1">
        <f t="shared" si="18"/>
        <v>7500</v>
      </c>
      <c r="F21" s="1">
        <f t="shared" si="18"/>
        <v>5500</v>
      </c>
      <c r="G21" s="1">
        <f t="shared" si="18"/>
        <v>4500</v>
      </c>
      <c r="H21" s="1">
        <f t="shared" si="18"/>
        <v>3500</v>
      </c>
      <c r="I21" s="1">
        <f t="shared" si="18"/>
        <v>2500</v>
      </c>
    </row>
    <row r="22" spans="1:15">
      <c r="A22" s="133"/>
      <c r="B22" s="34" t="s">
        <v>53</v>
      </c>
      <c r="C22" s="35">
        <f>C17</f>
        <v>9500</v>
      </c>
      <c r="D22" s="35">
        <f t="shared" ref="D22:I22" si="19">D17</f>
        <v>9500</v>
      </c>
      <c r="E22" s="35">
        <f t="shared" si="19"/>
        <v>9500</v>
      </c>
      <c r="F22" s="35">
        <f t="shared" si="19"/>
        <v>9500</v>
      </c>
      <c r="G22" s="35">
        <f t="shared" si="19"/>
        <v>9500</v>
      </c>
      <c r="H22" s="35">
        <f t="shared" si="19"/>
        <v>9500</v>
      </c>
      <c r="I22" s="35">
        <f t="shared" si="19"/>
        <v>7000</v>
      </c>
    </row>
    <row r="23" spans="1:15">
      <c r="A23" s="133"/>
      <c r="B23" s="23" t="s">
        <v>51</v>
      </c>
      <c r="C23" s="35">
        <f>(((C20-C21)*0.95)*2)-C22*2</f>
        <v>85621.362499999988</v>
      </c>
      <c r="D23" s="35">
        <f t="shared" ref="D23:I23" si="20">(((D20-D21)*0.95)*2)-D22*2</f>
        <v>95121.362499999988</v>
      </c>
      <c r="E23" s="35">
        <f t="shared" si="20"/>
        <v>99871.362499999988</v>
      </c>
      <c r="F23" s="35">
        <f t="shared" si="20"/>
        <v>103671.36249999999</v>
      </c>
      <c r="G23" s="35">
        <f t="shared" si="20"/>
        <v>105571.36249999999</v>
      </c>
      <c r="H23" s="35">
        <f t="shared" si="20"/>
        <v>107471.36249999999</v>
      </c>
      <c r="I23" s="35">
        <f t="shared" si="20"/>
        <v>114371.36249999999</v>
      </c>
    </row>
    <row r="24" spans="1:15">
      <c r="A24" s="133"/>
      <c r="B24" s="23" t="s">
        <v>52</v>
      </c>
      <c r="C24" s="35">
        <f>(C20-C21)-C22</f>
        <v>45563.875</v>
      </c>
      <c r="D24" s="35">
        <f t="shared" ref="D24:I24" si="21">(D20-D21)-D22</f>
        <v>50563.875</v>
      </c>
      <c r="E24" s="35">
        <f t="shared" si="21"/>
        <v>53063.875</v>
      </c>
      <c r="F24" s="35">
        <f t="shared" si="21"/>
        <v>55063.875</v>
      </c>
      <c r="G24" s="35">
        <f t="shared" si="21"/>
        <v>56063.875</v>
      </c>
      <c r="H24" s="35">
        <f t="shared" si="21"/>
        <v>57063.875</v>
      </c>
      <c r="I24" s="35">
        <f t="shared" si="21"/>
        <v>60563.875</v>
      </c>
    </row>
    <row r="25" spans="1:15">
      <c r="A25" s="128" t="s">
        <v>13</v>
      </c>
      <c r="B25" s="128"/>
      <c r="C25" s="35">
        <f>SUM(C8,C13,C18,C23)</f>
        <v>308638.61249999999</v>
      </c>
      <c r="D25" s="35">
        <f t="shared" ref="D25:I25" si="22">SUM(D8,D13,D18,D23)</f>
        <v>346638.61249999999</v>
      </c>
      <c r="E25" s="35">
        <f t="shared" si="22"/>
        <v>365638.61249999999</v>
      </c>
      <c r="F25" s="35">
        <f t="shared" si="22"/>
        <v>380838.61249999999</v>
      </c>
      <c r="G25" s="35">
        <f t="shared" si="22"/>
        <v>388438.61249999999</v>
      </c>
      <c r="H25" s="35">
        <f t="shared" si="22"/>
        <v>396038.61249999999</v>
      </c>
      <c r="I25" s="35">
        <f t="shared" si="22"/>
        <v>423638.61249999999</v>
      </c>
    </row>
    <row r="26" spans="1:15">
      <c r="A26" s="103"/>
      <c r="B26" s="109" t="s">
        <v>14</v>
      </c>
      <c r="C26" s="110"/>
      <c r="D26" s="110"/>
      <c r="E26" s="110"/>
      <c r="F26" s="110"/>
      <c r="G26" s="110"/>
      <c r="H26" s="110"/>
      <c r="I26" s="110"/>
    </row>
    <row r="27" spans="1:15" ht="28" customHeight="1">
      <c r="A27" s="132" t="s">
        <v>46</v>
      </c>
      <c r="B27" s="8" t="s">
        <v>15</v>
      </c>
      <c r="C27" s="1">
        <f>C5*0.75</f>
        <v>46575</v>
      </c>
      <c r="D27" s="1">
        <f t="shared" ref="D27:I27" si="23">C27</f>
        <v>46575</v>
      </c>
      <c r="E27" s="1">
        <f t="shared" si="23"/>
        <v>46575</v>
      </c>
      <c r="F27" s="1">
        <f t="shared" si="23"/>
        <v>46575</v>
      </c>
      <c r="G27" s="1">
        <f t="shared" si="23"/>
        <v>46575</v>
      </c>
      <c r="H27" s="1">
        <f t="shared" si="23"/>
        <v>46575</v>
      </c>
      <c r="I27" s="1">
        <f t="shared" si="23"/>
        <v>46575</v>
      </c>
      <c r="J27" s="10"/>
      <c r="K27" s="10"/>
      <c r="L27" s="10"/>
      <c r="M27" s="10"/>
      <c r="N27" s="10"/>
      <c r="O27" s="10"/>
    </row>
    <row r="28" spans="1:15">
      <c r="A28" s="133"/>
      <c r="B28" s="8" t="s">
        <v>11</v>
      </c>
      <c r="C28" s="1">
        <v>15000</v>
      </c>
      <c r="D28" s="1">
        <v>10000</v>
      </c>
      <c r="E28" s="1">
        <v>7500</v>
      </c>
      <c r="F28" s="1">
        <v>5500</v>
      </c>
      <c r="G28" s="1">
        <v>4500</v>
      </c>
      <c r="H28" s="1">
        <v>3500</v>
      </c>
      <c r="I28" s="1">
        <v>2500</v>
      </c>
    </row>
    <row r="29" spans="1:15">
      <c r="A29" s="133"/>
      <c r="B29" s="30" t="s">
        <v>51</v>
      </c>
      <c r="C29" s="31">
        <f>((C27-C28)*0.95)*2</f>
        <v>59992.5</v>
      </c>
      <c r="D29" s="31">
        <f t="shared" ref="D29:I29" si="24">((D27-D28)*0.95)*2</f>
        <v>69492.5</v>
      </c>
      <c r="E29" s="31">
        <f t="shared" si="24"/>
        <v>74242.5</v>
      </c>
      <c r="F29" s="31">
        <f t="shared" si="24"/>
        <v>78042.5</v>
      </c>
      <c r="G29" s="31">
        <f t="shared" si="24"/>
        <v>79942.5</v>
      </c>
      <c r="H29" s="31">
        <f t="shared" si="24"/>
        <v>81842.5</v>
      </c>
      <c r="I29" s="31">
        <f t="shared" si="24"/>
        <v>83742.5</v>
      </c>
      <c r="J29" s="10"/>
      <c r="K29" s="10"/>
      <c r="L29" s="10"/>
      <c r="M29" s="10"/>
      <c r="N29" s="10"/>
      <c r="O29" s="10"/>
    </row>
    <row r="30" spans="1:15">
      <c r="A30" s="133"/>
      <c r="B30" s="21" t="s">
        <v>52</v>
      </c>
      <c r="C30" s="31">
        <f>(C27-C28)</f>
        <v>31575</v>
      </c>
      <c r="D30" s="31">
        <f t="shared" ref="D30:I30" si="25">(D27-D28)</f>
        <v>36575</v>
      </c>
      <c r="E30" s="31">
        <f t="shared" si="25"/>
        <v>39075</v>
      </c>
      <c r="F30" s="31">
        <f t="shared" si="25"/>
        <v>41075</v>
      </c>
      <c r="G30" s="31">
        <f t="shared" si="25"/>
        <v>42075</v>
      </c>
      <c r="H30" s="31">
        <f t="shared" si="25"/>
        <v>43075</v>
      </c>
      <c r="I30" s="31">
        <f t="shared" si="25"/>
        <v>44075</v>
      </c>
      <c r="J30" s="10"/>
      <c r="K30" s="10"/>
      <c r="L30" s="10"/>
      <c r="M30" s="10"/>
      <c r="N30" s="10"/>
      <c r="O30" s="10"/>
    </row>
    <row r="31" spans="1:15" ht="24" customHeight="1">
      <c r="A31" s="132" t="s">
        <v>47</v>
      </c>
      <c r="B31" s="8" t="s">
        <v>15</v>
      </c>
      <c r="C31" s="1">
        <f>C10*0.75</f>
        <v>47662.5</v>
      </c>
      <c r="D31" s="1">
        <f t="shared" ref="D31:I31" si="26">C31</f>
        <v>47662.5</v>
      </c>
      <c r="E31" s="1">
        <f t="shared" si="26"/>
        <v>47662.5</v>
      </c>
      <c r="F31" s="1">
        <f t="shared" si="26"/>
        <v>47662.5</v>
      </c>
      <c r="G31" s="1">
        <f t="shared" si="26"/>
        <v>47662.5</v>
      </c>
      <c r="H31" s="1">
        <f t="shared" si="26"/>
        <v>47662.5</v>
      </c>
      <c r="I31" s="1">
        <f t="shared" si="26"/>
        <v>47662.5</v>
      </c>
    </row>
    <row r="32" spans="1:15">
      <c r="A32" s="133"/>
      <c r="B32" s="8" t="s">
        <v>11</v>
      </c>
      <c r="C32" s="1">
        <f t="shared" ref="C32:I32" si="27">C28</f>
        <v>15000</v>
      </c>
      <c r="D32" s="1">
        <f t="shared" si="27"/>
        <v>10000</v>
      </c>
      <c r="E32" s="1">
        <f t="shared" si="27"/>
        <v>7500</v>
      </c>
      <c r="F32" s="1">
        <f t="shared" si="27"/>
        <v>5500</v>
      </c>
      <c r="G32" s="1">
        <f t="shared" si="27"/>
        <v>4500</v>
      </c>
      <c r="H32" s="1">
        <f t="shared" si="27"/>
        <v>3500</v>
      </c>
      <c r="I32" s="1">
        <f t="shared" si="27"/>
        <v>2500</v>
      </c>
    </row>
    <row r="33" spans="1:9">
      <c r="A33" s="133"/>
      <c r="B33" s="32" t="s">
        <v>51</v>
      </c>
      <c r="C33" s="33">
        <f>((C31-C32)*0.95)*2</f>
        <v>62058.75</v>
      </c>
      <c r="D33" s="33">
        <f t="shared" ref="D33:I33" si="28">((D31-D32)*0.95)*2</f>
        <v>71558.75</v>
      </c>
      <c r="E33" s="33">
        <f t="shared" si="28"/>
        <v>76308.75</v>
      </c>
      <c r="F33" s="33">
        <f t="shared" si="28"/>
        <v>80108.75</v>
      </c>
      <c r="G33" s="33">
        <f t="shared" si="28"/>
        <v>82008.75</v>
      </c>
      <c r="H33" s="33">
        <f t="shared" si="28"/>
        <v>83908.75</v>
      </c>
      <c r="I33" s="33">
        <f t="shared" si="28"/>
        <v>85808.75</v>
      </c>
    </row>
    <row r="34" spans="1:9">
      <c r="A34" s="133"/>
      <c r="B34" s="22" t="s">
        <v>52</v>
      </c>
      <c r="C34" s="33">
        <f>(C31-C32)</f>
        <v>32662.5</v>
      </c>
      <c r="D34" s="33">
        <f t="shared" ref="D34:I34" si="29">(D31-D32)</f>
        <v>37662.5</v>
      </c>
      <c r="E34" s="33">
        <f t="shared" si="29"/>
        <v>40162.5</v>
      </c>
      <c r="F34" s="33">
        <f t="shared" si="29"/>
        <v>42162.5</v>
      </c>
      <c r="G34" s="33">
        <f t="shared" si="29"/>
        <v>43162.5</v>
      </c>
      <c r="H34" s="33">
        <f t="shared" si="29"/>
        <v>44162.5</v>
      </c>
      <c r="I34" s="33">
        <f t="shared" si="29"/>
        <v>45162.5</v>
      </c>
    </row>
    <row r="35" spans="1:9">
      <c r="A35" s="132" t="s">
        <v>48</v>
      </c>
      <c r="B35" s="8" t="s">
        <v>15</v>
      </c>
      <c r="C35" s="1">
        <f>C31*1.05</f>
        <v>50045.625</v>
      </c>
      <c r="D35" s="1">
        <f t="shared" ref="D35:I35" si="30">C35</f>
        <v>50045.625</v>
      </c>
      <c r="E35" s="1">
        <f t="shared" si="30"/>
        <v>50045.625</v>
      </c>
      <c r="F35" s="1">
        <f t="shared" si="30"/>
        <v>50045.625</v>
      </c>
      <c r="G35" s="1">
        <f t="shared" si="30"/>
        <v>50045.625</v>
      </c>
      <c r="H35" s="1">
        <f t="shared" si="30"/>
        <v>50045.625</v>
      </c>
      <c r="I35" s="1">
        <f t="shared" si="30"/>
        <v>50045.625</v>
      </c>
    </row>
    <row r="36" spans="1:9">
      <c r="A36" s="133"/>
      <c r="B36" s="8" t="s">
        <v>11</v>
      </c>
      <c r="C36" s="1">
        <f t="shared" ref="C36:I36" si="31">C32</f>
        <v>15000</v>
      </c>
      <c r="D36" s="1">
        <f t="shared" si="31"/>
        <v>10000</v>
      </c>
      <c r="E36" s="1">
        <f t="shared" si="31"/>
        <v>7500</v>
      </c>
      <c r="F36" s="1">
        <f t="shared" si="31"/>
        <v>5500</v>
      </c>
      <c r="G36" s="1">
        <f t="shared" si="31"/>
        <v>4500</v>
      </c>
      <c r="H36" s="1">
        <f t="shared" si="31"/>
        <v>3500</v>
      </c>
      <c r="I36" s="1">
        <f t="shared" si="31"/>
        <v>2500</v>
      </c>
    </row>
    <row r="37" spans="1:9">
      <c r="A37" s="133"/>
      <c r="B37" s="34" t="s">
        <v>51</v>
      </c>
      <c r="C37" s="35">
        <f>((C35-C36)*0.95)*2</f>
        <v>66586.6875</v>
      </c>
      <c r="D37" s="35">
        <f t="shared" ref="D37:I37" si="32">((D35-D36)*0.95)*2</f>
        <v>76086.6875</v>
      </c>
      <c r="E37" s="35">
        <f t="shared" si="32"/>
        <v>80836.6875</v>
      </c>
      <c r="F37" s="35">
        <f t="shared" si="32"/>
        <v>84636.6875</v>
      </c>
      <c r="G37" s="35">
        <f t="shared" si="32"/>
        <v>86536.6875</v>
      </c>
      <c r="H37" s="35">
        <f t="shared" si="32"/>
        <v>88436.6875</v>
      </c>
      <c r="I37" s="35">
        <f t="shared" si="32"/>
        <v>90336.6875</v>
      </c>
    </row>
    <row r="38" spans="1:9">
      <c r="A38" s="133"/>
      <c r="B38" s="23" t="s">
        <v>52</v>
      </c>
      <c r="C38" s="35">
        <f>(C35-C36)</f>
        <v>35045.625</v>
      </c>
      <c r="D38" s="35">
        <f t="shared" ref="D38:I38" si="33">(D35-D36)</f>
        <v>40045.625</v>
      </c>
      <c r="E38" s="35">
        <f t="shared" si="33"/>
        <v>42545.625</v>
      </c>
      <c r="F38" s="35">
        <f t="shared" si="33"/>
        <v>44545.625</v>
      </c>
      <c r="G38" s="35">
        <f t="shared" si="33"/>
        <v>45545.625</v>
      </c>
      <c r="H38" s="35">
        <f t="shared" si="33"/>
        <v>46545.625</v>
      </c>
      <c r="I38" s="35">
        <f t="shared" si="33"/>
        <v>47545.625</v>
      </c>
    </row>
    <row r="39" spans="1:9">
      <c r="A39" s="132" t="s">
        <v>49</v>
      </c>
      <c r="B39" s="8" t="s">
        <v>15</v>
      </c>
      <c r="C39" s="1">
        <f>C35*1.05</f>
        <v>52547.90625</v>
      </c>
      <c r="D39" s="1">
        <f t="shared" ref="D39" si="34">C39</f>
        <v>52547.90625</v>
      </c>
      <c r="E39" s="1">
        <f t="shared" ref="E39" si="35">D39</f>
        <v>52547.90625</v>
      </c>
      <c r="F39" s="1">
        <f t="shared" ref="F39" si="36">E39</f>
        <v>52547.90625</v>
      </c>
      <c r="G39" s="1">
        <f t="shared" ref="G39" si="37">F39</f>
        <v>52547.90625</v>
      </c>
      <c r="H39" s="1">
        <f t="shared" ref="H39" si="38">G39</f>
        <v>52547.90625</v>
      </c>
      <c r="I39" s="1">
        <f t="shared" ref="I39" si="39">H39</f>
        <v>52547.90625</v>
      </c>
    </row>
    <row r="40" spans="1:9">
      <c r="A40" s="133"/>
      <c r="B40" s="8" t="s">
        <v>11</v>
      </c>
      <c r="C40" s="1">
        <f t="shared" ref="C40:I40" si="40">C36</f>
        <v>15000</v>
      </c>
      <c r="D40" s="1">
        <f t="shared" si="40"/>
        <v>10000</v>
      </c>
      <c r="E40" s="1">
        <f t="shared" si="40"/>
        <v>7500</v>
      </c>
      <c r="F40" s="1">
        <f t="shared" si="40"/>
        <v>5500</v>
      </c>
      <c r="G40" s="1">
        <f t="shared" si="40"/>
        <v>4500</v>
      </c>
      <c r="H40" s="1">
        <f t="shared" si="40"/>
        <v>3500</v>
      </c>
      <c r="I40" s="1">
        <f t="shared" si="40"/>
        <v>2500</v>
      </c>
    </row>
    <row r="41" spans="1:9">
      <c r="A41" s="133"/>
      <c r="B41" s="34" t="s">
        <v>51</v>
      </c>
      <c r="C41" s="35">
        <f>((C39-C40)*0.95)*2</f>
        <v>71341.021874999991</v>
      </c>
      <c r="D41" s="35">
        <f t="shared" ref="D41:I41" si="41">((D39-D40)*0.95)*2</f>
        <v>80841.021874999991</v>
      </c>
      <c r="E41" s="35">
        <f t="shared" si="41"/>
        <v>85591.021874999991</v>
      </c>
      <c r="F41" s="35">
        <f t="shared" si="41"/>
        <v>89391.021874999991</v>
      </c>
      <c r="G41" s="35">
        <f t="shared" si="41"/>
        <v>91291.021874999991</v>
      </c>
      <c r="H41" s="35">
        <f t="shared" si="41"/>
        <v>93191.021874999991</v>
      </c>
      <c r="I41" s="35">
        <f t="shared" si="41"/>
        <v>95091.021874999991</v>
      </c>
    </row>
    <row r="42" spans="1:9">
      <c r="A42" s="133"/>
      <c r="B42" s="23" t="s">
        <v>52</v>
      </c>
      <c r="C42" s="35">
        <f>(C39-C40)</f>
        <v>37547.90625</v>
      </c>
      <c r="D42" s="35">
        <f t="shared" ref="D42:I42" si="42">(D39-D40)</f>
        <v>42547.90625</v>
      </c>
      <c r="E42" s="35">
        <f t="shared" si="42"/>
        <v>45047.90625</v>
      </c>
      <c r="F42" s="35">
        <f t="shared" si="42"/>
        <v>47047.90625</v>
      </c>
      <c r="G42" s="35">
        <f t="shared" si="42"/>
        <v>48047.90625</v>
      </c>
      <c r="H42" s="35">
        <f t="shared" si="42"/>
        <v>49047.90625</v>
      </c>
      <c r="I42" s="35">
        <f t="shared" si="42"/>
        <v>50047.90625</v>
      </c>
    </row>
    <row r="43" spans="1:9">
      <c r="A43" s="128" t="s">
        <v>13</v>
      </c>
      <c r="B43" s="128"/>
      <c r="C43" s="35">
        <f>SUM(C29,C33,C37,C41)</f>
        <v>259978.95937499998</v>
      </c>
      <c r="D43" s="35">
        <f t="shared" ref="D43:I43" si="43">SUM(D29,D33,D37,D41)</f>
        <v>297978.95937499998</v>
      </c>
      <c r="E43" s="35">
        <f t="shared" si="43"/>
        <v>316978.95937499998</v>
      </c>
      <c r="F43" s="35">
        <f t="shared" si="43"/>
        <v>332178.95937499998</v>
      </c>
      <c r="G43" s="35">
        <f t="shared" si="43"/>
        <v>339778.95937499998</v>
      </c>
      <c r="H43" s="35">
        <f t="shared" si="43"/>
        <v>347378.95937499998</v>
      </c>
      <c r="I43" s="35">
        <f t="shared" si="43"/>
        <v>354978.95937499998</v>
      </c>
    </row>
    <row r="44" spans="1:9" ht="16" customHeight="1">
      <c r="A44" s="105" t="s">
        <v>16</v>
      </c>
      <c r="B44" s="105"/>
      <c r="C44" s="105"/>
      <c r="D44" s="105"/>
      <c r="E44" s="105"/>
      <c r="F44" s="105"/>
      <c r="G44" s="105"/>
      <c r="H44" s="105"/>
      <c r="I44" s="105"/>
    </row>
    <row r="45" spans="1:9" ht="4" customHeight="1">
      <c r="A45" s="105"/>
      <c r="B45" s="105"/>
      <c r="C45" s="105"/>
      <c r="D45" s="105"/>
      <c r="E45" s="105"/>
      <c r="F45" s="105"/>
      <c r="G45" s="105"/>
      <c r="H45" s="105"/>
      <c r="I45" s="105"/>
    </row>
    <row r="46" spans="1:9" ht="2.0499999999999998" customHeight="1">
      <c r="A46" s="105"/>
      <c r="B46" s="105"/>
      <c r="C46" s="105"/>
      <c r="D46" s="105"/>
      <c r="E46" s="105"/>
      <c r="F46" s="105"/>
      <c r="G46" s="105"/>
      <c r="H46" s="105"/>
      <c r="I46" s="105"/>
    </row>
    <row r="47" spans="1:9">
      <c r="A47" s="121" t="s">
        <v>17</v>
      </c>
      <c r="B47" s="122"/>
      <c r="C47" s="118" t="s">
        <v>18</v>
      </c>
      <c r="D47" s="118"/>
      <c r="E47" s="2">
        <v>5000</v>
      </c>
      <c r="F47" s="3"/>
      <c r="G47" s="4"/>
    </row>
    <row r="48" spans="1:9">
      <c r="A48" s="123"/>
      <c r="B48" s="124"/>
      <c r="C48" s="119" t="s">
        <v>19</v>
      </c>
      <c r="D48" s="119"/>
      <c r="E48" s="5">
        <v>3000</v>
      </c>
      <c r="F48" s="3"/>
      <c r="G48" s="4"/>
    </row>
    <row r="49" spans="1:9" ht="16.3" thickBot="1">
      <c r="A49" s="142"/>
      <c r="B49" s="143"/>
      <c r="C49" s="144" t="s">
        <v>20</v>
      </c>
      <c r="D49" s="144"/>
      <c r="E49" s="5">
        <v>3000</v>
      </c>
      <c r="F49" s="6"/>
      <c r="G49" s="7"/>
    </row>
    <row r="50" spans="1:9">
      <c r="A50" s="127" t="s">
        <v>82</v>
      </c>
      <c r="B50" s="127"/>
      <c r="C50" s="128" t="s">
        <v>30</v>
      </c>
      <c r="D50" s="128"/>
      <c r="E50" s="8">
        <v>18500</v>
      </c>
      <c r="F50" s="115"/>
      <c r="G50" s="115"/>
      <c r="H50" s="115"/>
      <c r="I50" s="129"/>
    </row>
    <row r="51" spans="1:9" ht="16.3" thickBot="1">
      <c r="A51" s="127"/>
      <c r="B51" s="127"/>
      <c r="C51" s="128" t="s">
        <v>31</v>
      </c>
      <c r="D51" s="128"/>
      <c r="E51" s="8">
        <v>9750</v>
      </c>
      <c r="F51" s="117"/>
      <c r="G51" s="117"/>
      <c r="H51" s="117"/>
      <c r="I51" s="130"/>
    </row>
    <row r="52" spans="1:9" ht="23.15">
      <c r="A52" s="17" t="s">
        <v>21</v>
      </c>
      <c r="B52" s="18" t="s">
        <v>22</v>
      </c>
      <c r="C52" s="39" t="s">
        <v>23</v>
      </c>
      <c r="D52" s="39" t="s">
        <v>24</v>
      </c>
      <c r="E52" s="39" t="s">
        <v>25</v>
      </c>
      <c r="F52" s="19" t="s">
        <v>26</v>
      </c>
      <c r="G52" s="18" t="s">
        <v>27</v>
      </c>
      <c r="H52" s="18" t="s">
        <v>28</v>
      </c>
      <c r="I52" s="18" t="s">
        <v>29</v>
      </c>
    </row>
    <row r="53" spans="1:9">
      <c r="A53" s="9" t="s">
        <v>30</v>
      </c>
      <c r="B53" s="5">
        <f>B54*2</f>
        <v>7000</v>
      </c>
      <c r="C53" s="5">
        <f t="shared" ref="C53:H53" si="44">C54*2</f>
        <v>5000</v>
      </c>
      <c r="D53" s="5">
        <f>1000</f>
        <v>1000</v>
      </c>
      <c r="E53" s="5">
        <f t="shared" si="44"/>
        <v>1500</v>
      </c>
      <c r="F53" s="5">
        <f t="shared" si="44"/>
        <v>1000</v>
      </c>
      <c r="G53" s="5">
        <f t="shared" si="44"/>
        <v>1000</v>
      </c>
      <c r="H53" s="5">
        <f t="shared" si="44"/>
        <v>2000</v>
      </c>
      <c r="I53" s="5">
        <f>SUM(B53:H53)</f>
        <v>18500</v>
      </c>
    </row>
    <row r="54" spans="1:9">
      <c r="A54" s="9" t="s">
        <v>31</v>
      </c>
      <c r="B54" s="5">
        <v>3500</v>
      </c>
      <c r="C54" s="5">
        <v>2500</v>
      </c>
      <c r="D54" s="14">
        <v>1000</v>
      </c>
      <c r="E54" s="14">
        <v>750</v>
      </c>
      <c r="F54" s="14">
        <v>500</v>
      </c>
      <c r="G54" s="5">
        <v>500</v>
      </c>
      <c r="H54" s="5">
        <v>1000</v>
      </c>
      <c r="I54" s="5">
        <f>SUM(B54:H54)</f>
        <v>9750</v>
      </c>
    </row>
    <row r="55" spans="1:9">
      <c r="A55" s="104" t="s">
        <v>54</v>
      </c>
      <c r="B55" s="104"/>
      <c r="C55" s="104"/>
      <c r="D55" s="104"/>
      <c r="E55" s="104"/>
      <c r="F55" s="104"/>
      <c r="G55" s="104"/>
      <c r="H55" s="104"/>
      <c r="I55" s="104"/>
    </row>
    <row r="56" spans="1:9">
      <c r="A56" s="104" t="s">
        <v>55</v>
      </c>
      <c r="B56" s="104"/>
      <c r="C56" s="104"/>
      <c r="D56" s="104"/>
      <c r="E56" s="104"/>
      <c r="F56" s="104"/>
      <c r="G56" s="104"/>
      <c r="H56" s="104"/>
      <c r="I56" s="104"/>
    </row>
    <row r="57" spans="1:9" ht="39" customHeight="1">
      <c r="A57" s="152" t="s">
        <v>56</v>
      </c>
      <c r="B57" s="152"/>
      <c r="C57" s="152"/>
      <c r="D57" s="152"/>
      <c r="E57" s="152"/>
      <c r="F57" s="152"/>
      <c r="G57" s="152"/>
      <c r="H57" s="152"/>
      <c r="I57" s="152"/>
    </row>
    <row r="58" spans="1:9">
      <c r="A58" s="104" t="s">
        <v>32</v>
      </c>
      <c r="B58" s="104"/>
      <c r="C58" s="104"/>
      <c r="D58" s="104"/>
      <c r="E58" s="104"/>
      <c r="F58" s="104"/>
      <c r="G58" s="104"/>
      <c r="H58" s="104"/>
      <c r="I58" s="104"/>
    </row>
    <row r="59" spans="1:9">
      <c r="A59" s="149" t="s">
        <v>85</v>
      </c>
      <c r="B59" s="150"/>
      <c r="C59" s="150"/>
      <c r="D59" s="150"/>
      <c r="E59" s="150"/>
      <c r="F59" s="150"/>
      <c r="G59" s="150"/>
      <c r="H59" s="150"/>
      <c r="I59" s="151"/>
    </row>
    <row r="60" spans="1:9">
      <c r="A60" s="104" t="s">
        <v>9</v>
      </c>
      <c r="B60" s="104"/>
      <c r="C60" s="104"/>
      <c r="D60" s="104"/>
      <c r="E60" s="104"/>
      <c r="F60" s="104"/>
      <c r="G60" s="104"/>
      <c r="H60" s="104"/>
      <c r="I60" s="104"/>
    </row>
  </sheetData>
  <mergeCells count="29">
    <mergeCell ref="A20:A24"/>
    <mergeCell ref="A39:A42"/>
    <mergeCell ref="B26:I26"/>
    <mergeCell ref="A43:B43"/>
    <mergeCell ref="C48:D48"/>
    <mergeCell ref="C49:D49"/>
    <mergeCell ref="A55:I55"/>
    <mergeCell ref="A56:I56"/>
    <mergeCell ref="A44:I46"/>
    <mergeCell ref="A50:B51"/>
    <mergeCell ref="C50:D50"/>
    <mergeCell ref="F50:I51"/>
    <mergeCell ref="C51:D51"/>
    <mergeCell ref="A60:I60"/>
    <mergeCell ref="A2:I2"/>
    <mergeCell ref="A1:I1"/>
    <mergeCell ref="A4:I4"/>
    <mergeCell ref="A59:I59"/>
    <mergeCell ref="A58:I58"/>
    <mergeCell ref="C47:D47"/>
    <mergeCell ref="A5:A9"/>
    <mergeCell ref="A10:A14"/>
    <mergeCell ref="A15:A19"/>
    <mergeCell ref="A25:B25"/>
    <mergeCell ref="A27:A30"/>
    <mergeCell ref="A31:A34"/>
    <mergeCell ref="A35:A38"/>
    <mergeCell ref="A47:B49"/>
    <mergeCell ref="A57:I57"/>
  </mergeCells>
  <pageMargins left="0.7" right="0.7" top="0.75" bottom="0.75" header="0.3" footer="0.3"/>
  <pageSetup paperSize="9" scale="4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7312-94AF-264D-AA9B-DEFA2362829F}">
  <sheetPr>
    <pageSetUpPr fitToPage="1"/>
  </sheetPr>
  <dimension ref="A1:O52"/>
  <sheetViews>
    <sheetView tabSelected="1" zoomScale="50" workbookViewId="0">
      <selection activeCell="A3" sqref="A3"/>
    </sheetView>
  </sheetViews>
  <sheetFormatPr defaultColWidth="8.85546875" defaultRowHeight="15.9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9" width="16.640625" customWidth="1"/>
  </cols>
  <sheetData>
    <row r="1" spans="1:15" ht="47.6" customHeight="1">
      <c r="A1" s="134" t="s">
        <v>95</v>
      </c>
      <c r="B1" s="134"/>
      <c r="C1" s="134"/>
      <c r="D1" s="134"/>
      <c r="E1" s="134"/>
      <c r="F1" s="134"/>
      <c r="G1" s="134"/>
      <c r="H1" s="134"/>
      <c r="I1" s="134"/>
    </row>
    <row r="2" spans="1:15" ht="85.3" customHeight="1">
      <c r="A2" s="134" t="s">
        <v>100</v>
      </c>
      <c r="B2" s="134"/>
      <c r="C2" s="134"/>
      <c r="D2" s="134"/>
      <c r="E2" s="134"/>
      <c r="F2" s="134"/>
      <c r="G2" s="134"/>
      <c r="H2" s="134"/>
      <c r="I2" s="134"/>
    </row>
    <row r="3" spans="1:15" ht="85.3" customHeight="1">
      <c r="A3" s="15" t="s">
        <v>1</v>
      </c>
      <c r="B3" s="16" t="s">
        <v>2</v>
      </c>
      <c r="C3" s="15" t="s">
        <v>37</v>
      </c>
      <c r="D3" s="15" t="s">
        <v>38</v>
      </c>
      <c r="E3" s="15" t="s">
        <v>39</v>
      </c>
      <c r="F3" s="15" t="s">
        <v>40</v>
      </c>
      <c r="G3" s="15" t="s">
        <v>41</v>
      </c>
      <c r="H3" s="15" t="s">
        <v>42</v>
      </c>
      <c r="I3" s="15" t="s">
        <v>78</v>
      </c>
    </row>
    <row r="4" spans="1:15" ht="85.3" customHeight="1">
      <c r="A4" s="106" t="s">
        <v>0</v>
      </c>
      <c r="B4" s="107"/>
      <c r="C4" s="107"/>
      <c r="D4" s="107"/>
      <c r="E4" s="107"/>
      <c r="F4" s="107"/>
      <c r="G4" s="107"/>
      <c r="H4" s="107"/>
      <c r="I4" s="108"/>
    </row>
    <row r="5" spans="1:15">
      <c r="A5" s="132" t="s">
        <v>46</v>
      </c>
      <c r="B5" s="8" t="s">
        <v>10</v>
      </c>
      <c r="C5" s="1">
        <v>67100</v>
      </c>
      <c r="D5" s="1">
        <f>C5</f>
        <v>67100</v>
      </c>
      <c r="E5" s="1">
        <f t="shared" ref="E5:I5" si="0">D5</f>
        <v>67100</v>
      </c>
      <c r="F5" s="1">
        <f t="shared" si="0"/>
        <v>67100</v>
      </c>
      <c r="G5" s="1">
        <f t="shared" si="0"/>
        <v>67100</v>
      </c>
      <c r="H5" s="1">
        <f t="shared" si="0"/>
        <v>67100</v>
      </c>
      <c r="I5" s="1">
        <f t="shared" si="0"/>
        <v>67100</v>
      </c>
    </row>
    <row r="6" spans="1:15">
      <c r="A6" s="133"/>
      <c r="B6" s="8" t="s">
        <v>11</v>
      </c>
      <c r="C6" s="40">
        <v>17500</v>
      </c>
      <c r="D6" s="41">
        <v>15500</v>
      </c>
      <c r="E6" s="41">
        <v>13500</v>
      </c>
      <c r="F6" s="41">
        <v>11500</v>
      </c>
      <c r="G6" s="42">
        <v>9500</v>
      </c>
      <c r="H6" s="43">
        <v>8500</v>
      </c>
      <c r="I6" s="43">
        <v>7500</v>
      </c>
    </row>
    <row r="7" spans="1:15">
      <c r="A7" s="133"/>
      <c r="B7" s="30" t="s">
        <v>53</v>
      </c>
      <c r="C7" s="31">
        <v>7000</v>
      </c>
      <c r="D7" s="31">
        <f>C7</f>
        <v>7000</v>
      </c>
      <c r="E7" s="31">
        <f t="shared" ref="E7:H7" si="1">D7</f>
        <v>7000</v>
      </c>
      <c r="F7" s="31">
        <f t="shared" si="1"/>
        <v>7000</v>
      </c>
      <c r="G7" s="31">
        <f t="shared" si="1"/>
        <v>7000</v>
      </c>
      <c r="H7" s="31">
        <f t="shared" si="1"/>
        <v>7000</v>
      </c>
      <c r="I7" s="31">
        <v>5000</v>
      </c>
    </row>
    <row r="8" spans="1:15">
      <c r="A8" s="133"/>
      <c r="B8" s="21" t="s">
        <v>51</v>
      </c>
      <c r="C8" s="31">
        <f>(((C5-C6)*0.95)*2)-C7*2</f>
        <v>80240</v>
      </c>
      <c r="D8" s="31">
        <f t="shared" ref="D8:I8" si="2">(((D5-D6)*0.95)*2)-D7*2</f>
        <v>84040</v>
      </c>
      <c r="E8" s="31">
        <f t="shared" si="2"/>
        <v>87840</v>
      </c>
      <c r="F8" s="31">
        <f t="shared" si="2"/>
        <v>91640</v>
      </c>
      <c r="G8" s="31">
        <f t="shared" si="2"/>
        <v>95440</v>
      </c>
      <c r="H8" s="31">
        <f t="shared" si="2"/>
        <v>97340</v>
      </c>
      <c r="I8" s="31">
        <f t="shared" si="2"/>
        <v>103240</v>
      </c>
      <c r="J8" s="10"/>
      <c r="K8" s="10"/>
      <c r="L8" s="10"/>
      <c r="M8" s="10"/>
      <c r="N8" s="10"/>
      <c r="O8" s="10"/>
    </row>
    <row r="9" spans="1:15">
      <c r="A9" s="133"/>
      <c r="B9" s="21" t="s">
        <v>52</v>
      </c>
      <c r="C9" s="31">
        <f>(C5-C6)-C7</f>
        <v>42600</v>
      </c>
      <c r="D9" s="31">
        <f t="shared" ref="D9:I9" si="3">(D5-D6)-D7</f>
        <v>44600</v>
      </c>
      <c r="E9" s="31">
        <f t="shared" si="3"/>
        <v>46600</v>
      </c>
      <c r="F9" s="31">
        <f t="shared" si="3"/>
        <v>48600</v>
      </c>
      <c r="G9" s="31">
        <f t="shared" si="3"/>
        <v>50600</v>
      </c>
      <c r="H9" s="31">
        <f t="shared" si="3"/>
        <v>51600</v>
      </c>
      <c r="I9" s="31">
        <f t="shared" si="3"/>
        <v>54600</v>
      </c>
      <c r="J9" s="10"/>
      <c r="K9" s="10"/>
      <c r="L9" s="10"/>
      <c r="M9" s="10"/>
      <c r="N9" s="10"/>
      <c r="O9" s="10"/>
    </row>
    <row r="10" spans="1:15" ht="16" customHeight="1">
      <c r="A10" s="132" t="s">
        <v>47</v>
      </c>
      <c r="B10" s="8" t="s">
        <v>12</v>
      </c>
      <c r="C10" s="1">
        <v>68800</v>
      </c>
      <c r="D10" s="1">
        <f t="shared" ref="D10:I10" si="4">C10</f>
        <v>68800</v>
      </c>
      <c r="E10" s="1">
        <f t="shared" si="4"/>
        <v>68800</v>
      </c>
      <c r="F10" s="1">
        <f t="shared" si="4"/>
        <v>68800</v>
      </c>
      <c r="G10" s="1">
        <f t="shared" si="4"/>
        <v>68800</v>
      </c>
      <c r="H10" s="1">
        <f t="shared" si="4"/>
        <v>68800</v>
      </c>
      <c r="I10" s="1">
        <f t="shared" si="4"/>
        <v>68800</v>
      </c>
    </row>
    <row r="11" spans="1:15">
      <c r="A11" s="133"/>
      <c r="B11" s="8" t="s">
        <v>11</v>
      </c>
      <c r="C11" s="1">
        <f t="shared" ref="C11:I11" si="5">C6</f>
        <v>17500</v>
      </c>
      <c r="D11" s="1">
        <f t="shared" si="5"/>
        <v>15500</v>
      </c>
      <c r="E11" s="1">
        <f t="shared" si="5"/>
        <v>13500</v>
      </c>
      <c r="F11" s="1">
        <f t="shared" si="5"/>
        <v>11500</v>
      </c>
      <c r="G11" s="1">
        <f t="shared" si="5"/>
        <v>9500</v>
      </c>
      <c r="H11" s="1">
        <f t="shared" si="5"/>
        <v>8500</v>
      </c>
      <c r="I11" s="1">
        <f t="shared" si="5"/>
        <v>7500</v>
      </c>
    </row>
    <row r="12" spans="1:15">
      <c r="A12" s="133"/>
      <c r="B12" s="32" t="s">
        <v>53</v>
      </c>
      <c r="C12" s="33">
        <f>C7</f>
        <v>7000</v>
      </c>
      <c r="D12" s="33">
        <f>C12</f>
        <v>7000</v>
      </c>
      <c r="E12" s="33">
        <f t="shared" ref="E12:H12" si="6">D12</f>
        <v>7000</v>
      </c>
      <c r="F12" s="33">
        <f t="shared" si="6"/>
        <v>7000</v>
      </c>
      <c r="G12" s="33">
        <f t="shared" si="6"/>
        <v>7000</v>
      </c>
      <c r="H12" s="33">
        <f t="shared" si="6"/>
        <v>7000</v>
      </c>
      <c r="I12" s="33">
        <f>I7</f>
        <v>5000</v>
      </c>
    </row>
    <row r="13" spans="1:15">
      <c r="A13" s="133"/>
      <c r="B13" s="22" t="s">
        <v>51</v>
      </c>
      <c r="C13" s="33">
        <f>(((C10-C11)*0.95)*2)-C12*2</f>
        <v>83470</v>
      </c>
      <c r="D13" s="33">
        <f t="shared" ref="D13:I13" si="7">(((D10-D11)*0.95)*2)-D12*2</f>
        <v>87270</v>
      </c>
      <c r="E13" s="33">
        <f t="shared" si="7"/>
        <v>91070</v>
      </c>
      <c r="F13" s="33">
        <f t="shared" si="7"/>
        <v>94870</v>
      </c>
      <c r="G13" s="33">
        <f t="shared" si="7"/>
        <v>98670</v>
      </c>
      <c r="H13" s="33">
        <f t="shared" si="7"/>
        <v>100570</v>
      </c>
      <c r="I13" s="33">
        <f t="shared" si="7"/>
        <v>106470</v>
      </c>
    </row>
    <row r="14" spans="1:15">
      <c r="A14" s="133"/>
      <c r="B14" s="22" t="s">
        <v>52</v>
      </c>
      <c r="C14" s="33">
        <f>(C10-C11)-C12</f>
        <v>44300</v>
      </c>
      <c r="D14" s="33">
        <f t="shared" ref="D14:I14" si="8">(D10-D11)-D12</f>
        <v>46300</v>
      </c>
      <c r="E14" s="33">
        <f t="shared" si="8"/>
        <v>48300</v>
      </c>
      <c r="F14" s="33">
        <f t="shared" si="8"/>
        <v>50300</v>
      </c>
      <c r="G14" s="33">
        <f t="shared" si="8"/>
        <v>52300</v>
      </c>
      <c r="H14" s="33">
        <f t="shared" si="8"/>
        <v>53300</v>
      </c>
      <c r="I14" s="33">
        <f t="shared" si="8"/>
        <v>56300</v>
      </c>
    </row>
    <row r="15" spans="1:15">
      <c r="A15" s="132" t="s">
        <v>48</v>
      </c>
      <c r="B15" s="8" t="s">
        <v>12</v>
      </c>
      <c r="C15" s="1">
        <f>C10*1.05</f>
        <v>72240</v>
      </c>
      <c r="D15" s="1">
        <f t="shared" ref="D15:I15" si="9">C15</f>
        <v>72240</v>
      </c>
      <c r="E15" s="1">
        <f t="shared" si="9"/>
        <v>72240</v>
      </c>
      <c r="F15" s="1">
        <f t="shared" si="9"/>
        <v>72240</v>
      </c>
      <c r="G15" s="1">
        <f t="shared" si="9"/>
        <v>72240</v>
      </c>
      <c r="H15" s="1">
        <f t="shared" si="9"/>
        <v>72240</v>
      </c>
      <c r="I15" s="1">
        <f t="shared" si="9"/>
        <v>72240</v>
      </c>
    </row>
    <row r="16" spans="1:15">
      <c r="A16" s="133"/>
      <c r="B16" s="8" t="s">
        <v>11</v>
      </c>
      <c r="C16" s="1">
        <f t="shared" ref="C16:I16" si="10">C11</f>
        <v>17500</v>
      </c>
      <c r="D16" s="1">
        <f t="shared" si="10"/>
        <v>15500</v>
      </c>
      <c r="E16" s="1">
        <f t="shared" si="10"/>
        <v>13500</v>
      </c>
      <c r="F16" s="1">
        <f t="shared" si="10"/>
        <v>11500</v>
      </c>
      <c r="G16" s="1">
        <f t="shared" si="10"/>
        <v>9500</v>
      </c>
      <c r="H16" s="1">
        <f t="shared" si="10"/>
        <v>8500</v>
      </c>
      <c r="I16" s="1">
        <f t="shared" si="10"/>
        <v>7500</v>
      </c>
    </row>
    <row r="17" spans="1:15">
      <c r="A17" s="133"/>
      <c r="B17" s="34" t="s">
        <v>53</v>
      </c>
      <c r="C17" s="35">
        <f>C12</f>
        <v>7000</v>
      </c>
      <c r="D17" s="35">
        <f>C17</f>
        <v>7000</v>
      </c>
      <c r="E17" s="35">
        <f t="shared" ref="E17:H17" si="11">D17</f>
        <v>7000</v>
      </c>
      <c r="F17" s="35">
        <f t="shared" si="11"/>
        <v>7000</v>
      </c>
      <c r="G17" s="35">
        <f t="shared" si="11"/>
        <v>7000</v>
      </c>
      <c r="H17" s="35">
        <f t="shared" si="11"/>
        <v>7000</v>
      </c>
      <c r="I17" s="35">
        <f>I7</f>
        <v>5000</v>
      </c>
    </row>
    <row r="18" spans="1:15">
      <c r="A18" s="133"/>
      <c r="B18" s="23" t="s">
        <v>51</v>
      </c>
      <c r="C18" s="35">
        <f>(((C15-C16)*0.95)*2)-C17*2</f>
        <v>90006</v>
      </c>
      <c r="D18" s="35">
        <f t="shared" ref="D18:I18" si="12">(((D15-D16)*0.95)*2)-D17*2</f>
        <v>93806</v>
      </c>
      <c r="E18" s="35">
        <f t="shared" si="12"/>
        <v>97606</v>
      </c>
      <c r="F18" s="35">
        <f t="shared" si="12"/>
        <v>101406</v>
      </c>
      <c r="G18" s="35">
        <f t="shared" si="12"/>
        <v>105206</v>
      </c>
      <c r="H18" s="35">
        <f t="shared" si="12"/>
        <v>107106</v>
      </c>
      <c r="I18" s="35">
        <f t="shared" si="12"/>
        <v>113006</v>
      </c>
    </row>
    <row r="19" spans="1:15">
      <c r="A19" s="133"/>
      <c r="B19" s="23" t="s">
        <v>52</v>
      </c>
      <c r="C19" s="35">
        <f>(C15-C16)-C17</f>
        <v>47740</v>
      </c>
      <c r="D19" s="35">
        <f t="shared" ref="D19:I19" si="13">(D15-D16)-D17</f>
        <v>49740</v>
      </c>
      <c r="E19" s="35">
        <f t="shared" si="13"/>
        <v>51740</v>
      </c>
      <c r="F19" s="35">
        <f t="shared" si="13"/>
        <v>53740</v>
      </c>
      <c r="G19" s="35">
        <f t="shared" si="13"/>
        <v>55740</v>
      </c>
      <c r="H19" s="35">
        <f t="shared" si="13"/>
        <v>56740</v>
      </c>
      <c r="I19" s="35">
        <f t="shared" si="13"/>
        <v>59740</v>
      </c>
    </row>
    <row r="20" spans="1:15">
      <c r="A20" s="128" t="s">
        <v>13</v>
      </c>
      <c r="B20" s="128"/>
      <c r="C20" s="35">
        <f t="shared" ref="C20:I20" si="14">SUM(C8,C13,C18)</f>
        <v>253716</v>
      </c>
      <c r="D20" s="35">
        <f t="shared" si="14"/>
        <v>265116</v>
      </c>
      <c r="E20" s="35">
        <f t="shared" si="14"/>
        <v>276516</v>
      </c>
      <c r="F20" s="35">
        <f t="shared" si="14"/>
        <v>287916</v>
      </c>
      <c r="G20" s="35">
        <f t="shared" si="14"/>
        <v>299316</v>
      </c>
      <c r="H20" s="35">
        <f t="shared" si="14"/>
        <v>305016</v>
      </c>
      <c r="I20" s="35">
        <f t="shared" si="14"/>
        <v>322716</v>
      </c>
    </row>
    <row r="21" spans="1:15">
      <c r="A21" s="109" t="s">
        <v>14</v>
      </c>
      <c r="B21" s="110"/>
      <c r="C21" s="110"/>
      <c r="D21" s="110"/>
      <c r="E21" s="110"/>
      <c r="F21" s="110"/>
      <c r="G21" s="110"/>
      <c r="H21" s="110"/>
      <c r="I21" s="110"/>
    </row>
    <row r="22" spans="1:15" ht="28" customHeight="1">
      <c r="A22" s="132" t="s">
        <v>46</v>
      </c>
      <c r="B22" s="8" t="s">
        <v>15</v>
      </c>
      <c r="C22" s="1">
        <f>C5*0.75</f>
        <v>50325</v>
      </c>
      <c r="D22" s="1">
        <f t="shared" ref="D22:I22" si="15">C22</f>
        <v>50325</v>
      </c>
      <c r="E22" s="1">
        <f t="shared" si="15"/>
        <v>50325</v>
      </c>
      <c r="F22" s="1">
        <f t="shared" si="15"/>
        <v>50325</v>
      </c>
      <c r="G22" s="1">
        <f t="shared" si="15"/>
        <v>50325</v>
      </c>
      <c r="H22" s="1">
        <f t="shared" si="15"/>
        <v>50325</v>
      </c>
      <c r="I22" s="1">
        <f t="shared" si="15"/>
        <v>50325</v>
      </c>
      <c r="J22" s="10"/>
      <c r="K22" s="10"/>
      <c r="L22" s="10"/>
      <c r="M22" s="10"/>
      <c r="N22" s="10"/>
      <c r="O22" s="10"/>
    </row>
    <row r="23" spans="1:15">
      <c r="A23" s="133"/>
      <c r="B23" s="8" t="s">
        <v>11</v>
      </c>
      <c r="C23" s="40">
        <v>17500</v>
      </c>
      <c r="D23" s="41">
        <v>15500</v>
      </c>
      <c r="E23" s="41">
        <v>13500</v>
      </c>
      <c r="F23" s="41">
        <v>11500</v>
      </c>
      <c r="G23" s="42">
        <v>9500</v>
      </c>
      <c r="H23" s="43">
        <v>8500</v>
      </c>
      <c r="I23" s="43">
        <v>7500</v>
      </c>
    </row>
    <row r="24" spans="1:15">
      <c r="A24" s="133"/>
      <c r="B24" s="30" t="s">
        <v>51</v>
      </c>
      <c r="C24" s="31">
        <f>((C22-C23)*0.95)*2</f>
        <v>62367.5</v>
      </c>
      <c r="D24" s="31">
        <f t="shared" ref="D24:I24" si="16">((D22-D23)*0.95)*2</f>
        <v>66167.5</v>
      </c>
      <c r="E24" s="31">
        <f t="shared" si="16"/>
        <v>69967.5</v>
      </c>
      <c r="F24" s="31">
        <f t="shared" si="16"/>
        <v>73767.5</v>
      </c>
      <c r="G24" s="31">
        <f t="shared" si="16"/>
        <v>77567.5</v>
      </c>
      <c r="H24" s="31">
        <f t="shared" si="16"/>
        <v>79467.5</v>
      </c>
      <c r="I24" s="31">
        <f t="shared" si="16"/>
        <v>81367.5</v>
      </c>
      <c r="J24" s="10"/>
      <c r="K24" s="10"/>
      <c r="L24" s="10"/>
      <c r="M24" s="10"/>
      <c r="N24" s="10"/>
      <c r="O24" s="10"/>
    </row>
    <row r="25" spans="1:15">
      <c r="A25" s="133"/>
      <c r="B25" s="21" t="s">
        <v>52</v>
      </c>
      <c r="C25" s="31">
        <f>(C22-C23)</f>
        <v>32825</v>
      </c>
      <c r="D25" s="31">
        <f t="shared" ref="D25:I25" si="17">(D22-D23)</f>
        <v>34825</v>
      </c>
      <c r="E25" s="31">
        <f t="shared" si="17"/>
        <v>36825</v>
      </c>
      <c r="F25" s="31">
        <f t="shared" si="17"/>
        <v>38825</v>
      </c>
      <c r="G25" s="31">
        <f t="shared" si="17"/>
        <v>40825</v>
      </c>
      <c r="H25" s="31">
        <f t="shared" si="17"/>
        <v>41825</v>
      </c>
      <c r="I25" s="31">
        <f t="shared" si="17"/>
        <v>42825</v>
      </c>
      <c r="J25" s="10"/>
      <c r="K25" s="10"/>
      <c r="L25" s="10"/>
      <c r="M25" s="10"/>
      <c r="N25" s="10"/>
      <c r="O25" s="10"/>
    </row>
    <row r="26" spans="1:15" ht="24" customHeight="1">
      <c r="A26" s="132" t="s">
        <v>47</v>
      </c>
      <c r="B26" s="8" t="s">
        <v>15</v>
      </c>
      <c r="C26" s="1">
        <f>C10*0.75</f>
        <v>51600</v>
      </c>
      <c r="D26" s="1">
        <f t="shared" ref="D26:I26" si="18">C26</f>
        <v>51600</v>
      </c>
      <c r="E26" s="1">
        <f t="shared" si="18"/>
        <v>51600</v>
      </c>
      <c r="F26" s="1">
        <f t="shared" si="18"/>
        <v>51600</v>
      </c>
      <c r="G26" s="1">
        <f t="shared" si="18"/>
        <v>51600</v>
      </c>
      <c r="H26" s="1">
        <f t="shared" si="18"/>
        <v>51600</v>
      </c>
      <c r="I26" s="1">
        <f t="shared" si="18"/>
        <v>51600</v>
      </c>
    </row>
    <row r="27" spans="1:15">
      <c r="A27" s="133"/>
      <c r="B27" s="8" t="s">
        <v>11</v>
      </c>
      <c r="C27" s="1">
        <f t="shared" ref="C27:I27" si="19">C23</f>
        <v>17500</v>
      </c>
      <c r="D27" s="1">
        <f t="shared" si="19"/>
        <v>15500</v>
      </c>
      <c r="E27" s="1">
        <f t="shared" si="19"/>
        <v>13500</v>
      </c>
      <c r="F27" s="1">
        <f t="shared" si="19"/>
        <v>11500</v>
      </c>
      <c r="G27" s="1">
        <f t="shared" si="19"/>
        <v>9500</v>
      </c>
      <c r="H27" s="1">
        <f t="shared" si="19"/>
        <v>8500</v>
      </c>
      <c r="I27" s="1">
        <f t="shared" si="19"/>
        <v>7500</v>
      </c>
    </row>
    <row r="28" spans="1:15">
      <c r="A28" s="133"/>
      <c r="B28" s="32" t="s">
        <v>51</v>
      </c>
      <c r="C28" s="33">
        <f>((C26-C27)*0.95)*2</f>
        <v>64790</v>
      </c>
      <c r="D28" s="33">
        <f t="shared" ref="D28:I28" si="20">((D26-D27)*0.95)*2</f>
        <v>68590</v>
      </c>
      <c r="E28" s="33">
        <f t="shared" si="20"/>
        <v>72390</v>
      </c>
      <c r="F28" s="33">
        <f t="shared" si="20"/>
        <v>76190</v>
      </c>
      <c r="G28" s="33">
        <f t="shared" si="20"/>
        <v>79990</v>
      </c>
      <c r="H28" s="33">
        <f t="shared" si="20"/>
        <v>81890</v>
      </c>
      <c r="I28" s="33">
        <f t="shared" si="20"/>
        <v>83790</v>
      </c>
    </row>
    <row r="29" spans="1:15">
      <c r="A29" s="133"/>
      <c r="B29" s="22" t="s">
        <v>52</v>
      </c>
      <c r="C29" s="33">
        <f>(C26-C27)</f>
        <v>34100</v>
      </c>
      <c r="D29" s="33">
        <f t="shared" ref="D29:I29" si="21">(D26-D27)</f>
        <v>36100</v>
      </c>
      <c r="E29" s="33">
        <f t="shared" si="21"/>
        <v>38100</v>
      </c>
      <c r="F29" s="33">
        <f t="shared" si="21"/>
        <v>40100</v>
      </c>
      <c r="G29" s="33">
        <f t="shared" si="21"/>
        <v>42100</v>
      </c>
      <c r="H29" s="33">
        <f t="shared" si="21"/>
        <v>43100</v>
      </c>
      <c r="I29" s="33">
        <f t="shared" si="21"/>
        <v>44100</v>
      </c>
    </row>
    <row r="30" spans="1:15">
      <c r="A30" s="132" t="s">
        <v>48</v>
      </c>
      <c r="B30" s="8" t="s">
        <v>15</v>
      </c>
      <c r="C30" s="1">
        <f>C26*1.05</f>
        <v>54180</v>
      </c>
      <c r="D30" s="1">
        <f t="shared" ref="D30:I30" si="22">C30</f>
        <v>54180</v>
      </c>
      <c r="E30" s="1">
        <f t="shared" si="22"/>
        <v>54180</v>
      </c>
      <c r="F30" s="1">
        <f t="shared" si="22"/>
        <v>54180</v>
      </c>
      <c r="G30" s="1">
        <f t="shared" si="22"/>
        <v>54180</v>
      </c>
      <c r="H30" s="1">
        <f t="shared" si="22"/>
        <v>54180</v>
      </c>
      <c r="I30" s="1">
        <f t="shared" si="22"/>
        <v>54180</v>
      </c>
    </row>
    <row r="31" spans="1:15">
      <c r="A31" s="133"/>
      <c r="B31" s="8" t="s">
        <v>11</v>
      </c>
      <c r="C31" s="1">
        <f t="shared" ref="C31:I31" si="23">C27</f>
        <v>17500</v>
      </c>
      <c r="D31" s="1">
        <f t="shared" si="23"/>
        <v>15500</v>
      </c>
      <c r="E31" s="1">
        <f t="shared" si="23"/>
        <v>13500</v>
      </c>
      <c r="F31" s="1">
        <f t="shared" si="23"/>
        <v>11500</v>
      </c>
      <c r="G31" s="1">
        <f t="shared" si="23"/>
        <v>9500</v>
      </c>
      <c r="H31" s="1">
        <f t="shared" si="23"/>
        <v>8500</v>
      </c>
      <c r="I31" s="1">
        <f t="shared" si="23"/>
        <v>7500</v>
      </c>
    </row>
    <row r="32" spans="1:15">
      <c r="A32" s="133"/>
      <c r="B32" s="34" t="s">
        <v>51</v>
      </c>
      <c r="C32" s="35">
        <f>((C30-C31)*0.95)*2</f>
        <v>69692</v>
      </c>
      <c r="D32" s="35">
        <f t="shared" ref="D32:I32" si="24">((D30-D31)*0.95)*2</f>
        <v>73492</v>
      </c>
      <c r="E32" s="35">
        <f t="shared" si="24"/>
        <v>77292</v>
      </c>
      <c r="F32" s="35">
        <f t="shared" si="24"/>
        <v>81092</v>
      </c>
      <c r="G32" s="35">
        <f t="shared" si="24"/>
        <v>84892</v>
      </c>
      <c r="H32" s="35">
        <f t="shared" si="24"/>
        <v>86792</v>
      </c>
      <c r="I32" s="35">
        <f t="shared" si="24"/>
        <v>88692</v>
      </c>
    </row>
    <row r="33" spans="1:9">
      <c r="A33" s="133"/>
      <c r="B33" s="23" t="s">
        <v>52</v>
      </c>
      <c r="C33" s="35">
        <f>(C30-C31)</f>
        <v>36680</v>
      </c>
      <c r="D33" s="35">
        <f t="shared" ref="D33:I33" si="25">(D30-D31)</f>
        <v>38680</v>
      </c>
      <c r="E33" s="35">
        <f t="shared" si="25"/>
        <v>40680</v>
      </c>
      <c r="F33" s="35">
        <f t="shared" si="25"/>
        <v>42680</v>
      </c>
      <c r="G33" s="35">
        <f t="shared" si="25"/>
        <v>44680</v>
      </c>
      <c r="H33" s="35">
        <f t="shared" si="25"/>
        <v>45680</v>
      </c>
      <c r="I33" s="35">
        <f t="shared" si="25"/>
        <v>46680</v>
      </c>
    </row>
    <row r="34" spans="1:9">
      <c r="A34" s="128" t="s">
        <v>13</v>
      </c>
      <c r="B34" s="128"/>
      <c r="C34" s="35">
        <f t="shared" ref="C34:I34" si="26">SUM(C24,C28,C32)</f>
        <v>196849.5</v>
      </c>
      <c r="D34" s="35">
        <f t="shared" si="26"/>
        <v>208249.5</v>
      </c>
      <c r="E34" s="35">
        <f t="shared" si="26"/>
        <v>219649.5</v>
      </c>
      <c r="F34" s="35">
        <f t="shared" si="26"/>
        <v>231049.5</v>
      </c>
      <c r="G34" s="35">
        <f t="shared" si="26"/>
        <v>242449.5</v>
      </c>
      <c r="H34" s="35">
        <f t="shared" si="26"/>
        <v>248149.5</v>
      </c>
      <c r="I34" s="35">
        <f t="shared" si="26"/>
        <v>253849.5</v>
      </c>
    </row>
    <row r="35" spans="1:9" ht="16" customHeight="1">
      <c r="A35" s="105" t="s">
        <v>16</v>
      </c>
      <c r="B35" s="105"/>
      <c r="C35" s="105"/>
      <c r="D35" s="105"/>
      <c r="E35" s="105"/>
      <c r="F35" s="105"/>
      <c r="G35" s="105"/>
      <c r="H35" s="105"/>
      <c r="I35" s="105"/>
    </row>
    <row r="36" spans="1:9" ht="4" customHeight="1">
      <c r="A36" s="105"/>
      <c r="B36" s="105"/>
      <c r="C36" s="105"/>
      <c r="D36" s="105"/>
      <c r="E36" s="105"/>
      <c r="F36" s="105"/>
      <c r="G36" s="105"/>
      <c r="H36" s="105"/>
      <c r="I36" s="105"/>
    </row>
    <row r="37" spans="1:9" ht="2.0499999999999998" customHeight="1">
      <c r="A37" s="105"/>
      <c r="B37" s="105"/>
      <c r="C37" s="105"/>
      <c r="D37" s="105"/>
      <c r="E37" s="105"/>
      <c r="F37" s="105"/>
      <c r="G37" s="105"/>
      <c r="H37" s="105"/>
      <c r="I37" s="105"/>
    </row>
    <row r="38" spans="1:9">
      <c r="A38" s="121" t="s">
        <v>17</v>
      </c>
      <c r="B38" s="122"/>
      <c r="C38" s="118" t="s">
        <v>18</v>
      </c>
      <c r="D38" s="118"/>
      <c r="E38" s="2">
        <v>5000</v>
      </c>
      <c r="F38" s="3"/>
      <c r="G38" s="4"/>
    </row>
    <row r="39" spans="1:9">
      <c r="A39" s="123"/>
      <c r="B39" s="124"/>
      <c r="C39" s="119" t="s">
        <v>19</v>
      </c>
      <c r="D39" s="119"/>
      <c r="E39" s="5">
        <v>3000</v>
      </c>
      <c r="F39" s="3"/>
      <c r="G39" s="4"/>
    </row>
    <row r="40" spans="1:9" ht="16.3" thickBot="1">
      <c r="A40" s="123"/>
      <c r="B40" s="124"/>
      <c r="C40" s="120" t="s">
        <v>20</v>
      </c>
      <c r="D40" s="120"/>
      <c r="E40" s="11">
        <v>3000</v>
      </c>
      <c r="F40" s="6"/>
      <c r="G40" s="7"/>
    </row>
    <row r="41" spans="1:9">
      <c r="A41" s="127" t="s">
        <v>82</v>
      </c>
      <c r="B41" s="127"/>
      <c r="C41" s="128" t="s">
        <v>30</v>
      </c>
      <c r="D41" s="128"/>
      <c r="E41" s="8">
        <v>18500</v>
      </c>
      <c r="F41" s="115"/>
      <c r="G41" s="115"/>
      <c r="H41" s="115"/>
      <c r="I41" s="129"/>
    </row>
    <row r="42" spans="1:9">
      <c r="A42" s="127"/>
      <c r="B42" s="127"/>
      <c r="C42" s="128" t="s">
        <v>31</v>
      </c>
      <c r="D42" s="128"/>
      <c r="E42" s="8">
        <v>9750</v>
      </c>
      <c r="F42" s="117"/>
      <c r="G42" s="117"/>
      <c r="H42" s="117"/>
      <c r="I42" s="130"/>
    </row>
    <row r="43" spans="1:9" ht="23.15">
      <c r="A43" s="12" t="s">
        <v>21</v>
      </c>
      <c r="B43" s="12" t="s">
        <v>22</v>
      </c>
      <c r="C43" s="13" t="s">
        <v>23</v>
      </c>
      <c r="D43" s="13" t="s">
        <v>24</v>
      </c>
      <c r="E43" s="13" t="s">
        <v>25</v>
      </c>
      <c r="F43" s="13" t="s">
        <v>26</v>
      </c>
      <c r="G43" s="12" t="s">
        <v>27</v>
      </c>
      <c r="H43" s="12" t="s">
        <v>28</v>
      </c>
      <c r="I43" s="12" t="s">
        <v>29</v>
      </c>
    </row>
    <row r="44" spans="1:9">
      <c r="A44" s="9" t="s">
        <v>30</v>
      </c>
      <c r="B44" s="5">
        <f>B45*2</f>
        <v>7000</v>
      </c>
      <c r="C44" s="5">
        <f t="shared" ref="C44:H44" si="27">C45*2</f>
        <v>5000</v>
      </c>
      <c r="D44" s="5">
        <f>1000</f>
        <v>1000</v>
      </c>
      <c r="E44" s="5">
        <f t="shared" si="27"/>
        <v>1500</v>
      </c>
      <c r="F44" s="5">
        <f t="shared" si="27"/>
        <v>1000</v>
      </c>
      <c r="G44" s="5">
        <f t="shared" si="27"/>
        <v>1000</v>
      </c>
      <c r="H44" s="5">
        <f t="shared" si="27"/>
        <v>2000</v>
      </c>
      <c r="I44" s="5">
        <f>SUM(B44:H44)</f>
        <v>18500</v>
      </c>
    </row>
    <row r="45" spans="1:9">
      <c r="A45" s="9" t="s">
        <v>31</v>
      </c>
      <c r="B45" s="5">
        <v>3500</v>
      </c>
      <c r="C45" s="5">
        <v>2500</v>
      </c>
      <c r="D45" s="14">
        <v>1000</v>
      </c>
      <c r="E45" s="14">
        <v>750</v>
      </c>
      <c r="F45" s="14">
        <v>500</v>
      </c>
      <c r="G45" s="5">
        <v>500</v>
      </c>
      <c r="H45" s="5">
        <v>1000</v>
      </c>
      <c r="I45" s="5">
        <f>SUM(B45:H45)</f>
        <v>9750</v>
      </c>
    </row>
    <row r="46" spans="1:9" ht="16" customHeight="1">
      <c r="A46" s="104" t="s">
        <v>54</v>
      </c>
      <c r="B46" s="104"/>
      <c r="C46" s="104"/>
      <c r="D46" s="104"/>
      <c r="E46" s="104"/>
      <c r="F46" s="104"/>
      <c r="G46" s="104"/>
      <c r="H46" s="104"/>
      <c r="I46" s="104"/>
    </row>
    <row r="47" spans="1:9" ht="30.55" customHeight="1">
      <c r="A47" s="104" t="s">
        <v>55</v>
      </c>
      <c r="B47" s="104"/>
      <c r="C47" s="104"/>
      <c r="D47" s="104"/>
      <c r="E47" s="104"/>
      <c r="F47" s="104"/>
      <c r="G47" s="104"/>
      <c r="H47" s="104"/>
      <c r="I47" s="104"/>
    </row>
    <row r="48" spans="1:9" ht="38.049999999999997" customHeight="1">
      <c r="A48" s="152" t="s">
        <v>56</v>
      </c>
      <c r="B48" s="152"/>
      <c r="C48" s="152"/>
      <c r="D48" s="152"/>
      <c r="E48" s="152"/>
      <c r="F48" s="152"/>
      <c r="G48" s="152"/>
      <c r="H48" s="152"/>
      <c r="I48" s="152"/>
    </row>
    <row r="49" spans="1:9" ht="14.5" customHeight="1">
      <c r="A49" s="104" t="s">
        <v>32</v>
      </c>
      <c r="B49" s="104"/>
      <c r="C49" s="104"/>
      <c r="D49" s="104"/>
      <c r="E49" s="104"/>
      <c r="F49" s="104"/>
      <c r="G49" s="104"/>
      <c r="H49" s="104"/>
      <c r="I49" s="104"/>
    </row>
    <row r="50" spans="1:9">
      <c r="A50" s="149" t="s">
        <v>86</v>
      </c>
      <c r="B50" s="150"/>
      <c r="C50" s="150"/>
      <c r="D50" s="150"/>
      <c r="E50" s="150"/>
      <c r="F50" s="150"/>
      <c r="G50" s="150"/>
      <c r="H50" s="150"/>
      <c r="I50" s="151"/>
    </row>
    <row r="51" spans="1:9">
      <c r="A51" s="153" t="s">
        <v>80</v>
      </c>
      <c r="B51" s="153"/>
      <c r="C51" s="153"/>
      <c r="D51" s="153"/>
      <c r="E51" s="153"/>
      <c r="F51" s="153"/>
      <c r="G51" s="153"/>
      <c r="H51" s="153"/>
      <c r="I51" s="153"/>
    </row>
    <row r="52" spans="1:9">
      <c r="A52" s="104" t="s">
        <v>9</v>
      </c>
      <c r="B52" s="104"/>
      <c r="C52" s="104"/>
      <c r="D52" s="104"/>
      <c r="E52" s="104"/>
      <c r="F52" s="104"/>
      <c r="G52" s="104"/>
      <c r="H52" s="104"/>
      <c r="I52" s="104"/>
    </row>
  </sheetData>
  <mergeCells count="28">
    <mergeCell ref="A30:A33"/>
    <mergeCell ref="A34:B34"/>
    <mergeCell ref="A35:I37"/>
    <mergeCell ref="A46:I46"/>
    <mergeCell ref="A47:I47"/>
    <mergeCell ref="A38:B40"/>
    <mergeCell ref="C38:D38"/>
    <mergeCell ref="C39:D39"/>
    <mergeCell ref="C40:D40"/>
    <mergeCell ref="A41:B42"/>
    <mergeCell ref="C41:D41"/>
    <mergeCell ref="F41:I42"/>
    <mergeCell ref="A52:I52"/>
    <mergeCell ref="A1:I1"/>
    <mergeCell ref="A4:I4"/>
    <mergeCell ref="C42:D42"/>
    <mergeCell ref="A2:I2"/>
    <mergeCell ref="A5:A9"/>
    <mergeCell ref="A10:A14"/>
    <mergeCell ref="A15:A19"/>
    <mergeCell ref="A20:B20"/>
    <mergeCell ref="A21:I21"/>
    <mergeCell ref="A22:A25"/>
    <mergeCell ref="A26:A29"/>
    <mergeCell ref="A51:I51"/>
    <mergeCell ref="A48:I48"/>
    <mergeCell ref="A49:I49"/>
    <mergeCell ref="A50:I50"/>
  </mergeCells>
  <pageMargins left="0.7" right="0.7" top="0.75" bottom="0.75" header="0.3" footer="0.3"/>
  <pageSetup paperSize="9" scale="4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8A5B-3879-4400-AE2E-6DEAF7F79C8D}">
  <sheetPr>
    <pageSetUpPr fitToPage="1"/>
  </sheetPr>
  <dimension ref="A1:O52"/>
  <sheetViews>
    <sheetView zoomScale="67" workbookViewId="0">
      <selection activeCell="A3" sqref="A3"/>
    </sheetView>
  </sheetViews>
  <sheetFormatPr defaultColWidth="8.85546875" defaultRowHeight="15.9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9" width="16.640625" customWidth="1"/>
  </cols>
  <sheetData>
    <row r="1" spans="1:15">
      <c r="A1" s="134" t="s">
        <v>102</v>
      </c>
      <c r="B1" s="134"/>
      <c r="C1" s="134"/>
      <c r="D1" s="134"/>
      <c r="E1" s="134"/>
      <c r="F1" s="134"/>
      <c r="G1" s="134"/>
      <c r="H1" s="134"/>
      <c r="I1" s="134"/>
    </row>
    <row r="2" spans="1:15" ht="46.3" customHeight="1">
      <c r="A2" s="134" t="s">
        <v>103</v>
      </c>
      <c r="B2" s="134"/>
      <c r="C2" s="134"/>
      <c r="D2" s="134"/>
      <c r="E2" s="134"/>
      <c r="F2" s="134"/>
      <c r="G2" s="134"/>
      <c r="H2" s="134"/>
      <c r="I2" s="134"/>
    </row>
    <row r="3" spans="1:15" ht="85.3" customHeight="1">
      <c r="A3" s="15" t="s">
        <v>1</v>
      </c>
      <c r="B3" s="16" t="s">
        <v>2</v>
      </c>
      <c r="C3" s="15" t="s">
        <v>37</v>
      </c>
      <c r="D3" s="15" t="s">
        <v>38</v>
      </c>
      <c r="E3" s="15" t="s">
        <v>39</v>
      </c>
      <c r="F3" s="15" t="s">
        <v>40</v>
      </c>
      <c r="G3" s="15" t="s">
        <v>41</v>
      </c>
      <c r="H3" s="15" t="s">
        <v>42</v>
      </c>
      <c r="I3" s="15" t="s">
        <v>78</v>
      </c>
    </row>
    <row r="4" spans="1:15" ht="85.3" customHeight="1">
      <c r="A4" s="106" t="s">
        <v>0</v>
      </c>
      <c r="B4" s="107"/>
      <c r="C4" s="107"/>
      <c r="D4" s="107"/>
      <c r="E4" s="107"/>
      <c r="F4" s="107"/>
      <c r="G4" s="107"/>
      <c r="H4" s="107"/>
      <c r="I4" s="108"/>
    </row>
    <row r="5" spans="1:15">
      <c r="A5" s="132" t="s">
        <v>46</v>
      </c>
      <c r="B5" s="8" t="s">
        <v>10</v>
      </c>
      <c r="C5" s="1">
        <v>62100</v>
      </c>
      <c r="D5" s="1">
        <f>C5</f>
        <v>62100</v>
      </c>
      <c r="E5" s="1">
        <f t="shared" ref="E5:I5" si="0">D5</f>
        <v>62100</v>
      </c>
      <c r="F5" s="1">
        <f t="shared" si="0"/>
        <v>62100</v>
      </c>
      <c r="G5" s="1">
        <f t="shared" si="0"/>
        <v>62100</v>
      </c>
      <c r="H5" s="1">
        <f t="shared" si="0"/>
        <v>62100</v>
      </c>
      <c r="I5" s="1">
        <f t="shared" si="0"/>
        <v>62100</v>
      </c>
    </row>
    <row r="6" spans="1:15">
      <c r="A6" s="133"/>
      <c r="B6" s="8" t="s">
        <v>11</v>
      </c>
      <c r="C6" s="40">
        <v>17500</v>
      </c>
      <c r="D6" s="41">
        <v>15500</v>
      </c>
      <c r="E6" s="41">
        <v>13500</v>
      </c>
      <c r="F6" s="41">
        <v>11500</v>
      </c>
      <c r="G6" s="42">
        <v>9500</v>
      </c>
      <c r="H6" s="43">
        <v>8500</v>
      </c>
      <c r="I6" s="43">
        <v>7500</v>
      </c>
    </row>
    <row r="7" spans="1:15">
      <c r="A7" s="133"/>
      <c r="B7" s="30" t="s">
        <v>53</v>
      </c>
      <c r="C7" s="31">
        <v>7000</v>
      </c>
      <c r="D7" s="31">
        <f>C7</f>
        <v>7000</v>
      </c>
      <c r="E7" s="31">
        <f t="shared" ref="E7:H7" si="1">D7</f>
        <v>7000</v>
      </c>
      <c r="F7" s="31">
        <f t="shared" si="1"/>
        <v>7000</v>
      </c>
      <c r="G7" s="31">
        <f t="shared" si="1"/>
        <v>7000</v>
      </c>
      <c r="H7" s="31">
        <f t="shared" si="1"/>
        <v>7000</v>
      </c>
      <c r="I7" s="31">
        <v>5000</v>
      </c>
    </row>
    <row r="8" spans="1:15">
      <c r="A8" s="133"/>
      <c r="B8" s="21" t="s">
        <v>51</v>
      </c>
      <c r="C8" s="31">
        <f>(((C5-C6)*0.95)*2)-C7*2</f>
        <v>70740</v>
      </c>
      <c r="D8" s="31">
        <f t="shared" ref="D8:I8" si="2">(((D5-D6)*0.95)*2)-D7*2</f>
        <v>74540</v>
      </c>
      <c r="E8" s="31">
        <f t="shared" si="2"/>
        <v>78340</v>
      </c>
      <c r="F8" s="31">
        <f t="shared" si="2"/>
        <v>82140</v>
      </c>
      <c r="G8" s="31">
        <f t="shared" si="2"/>
        <v>85940</v>
      </c>
      <c r="H8" s="31">
        <f t="shared" si="2"/>
        <v>87840</v>
      </c>
      <c r="I8" s="31">
        <f t="shared" si="2"/>
        <v>93740</v>
      </c>
      <c r="J8" s="10"/>
      <c r="K8" s="10"/>
      <c r="L8" s="10"/>
      <c r="M8" s="10"/>
      <c r="N8" s="10"/>
      <c r="O8" s="10"/>
    </row>
    <row r="9" spans="1:15">
      <c r="A9" s="133"/>
      <c r="B9" s="21" t="s">
        <v>52</v>
      </c>
      <c r="C9" s="31">
        <f>(C5-C6)-C7</f>
        <v>37600</v>
      </c>
      <c r="D9" s="31">
        <f t="shared" ref="D9:I9" si="3">(D5-D6)-D7</f>
        <v>39600</v>
      </c>
      <c r="E9" s="31">
        <f t="shared" si="3"/>
        <v>41600</v>
      </c>
      <c r="F9" s="31">
        <f t="shared" si="3"/>
        <v>43600</v>
      </c>
      <c r="G9" s="31">
        <f t="shared" si="3"/>
        <v>45600</v>
      </c>
      <c r="H9" s="31">
        <f t="shared" si="3"/>
        <v>46600</v>
      </c>
      <c r="I9" s="31">
        <f t="shared" si="3"/>
        <v>49600</v>
      </c>
      <c r="J9" s="10"/>
      <c r="K9" s="10"/>
      <c r="L9" s="10"/>
      <c r="M9" s="10"/>
      <c r="N9" s="10"/>
      <c r="O9" s="10"/>
    </row>
    <row r="10" spans="1:15" ht="16" customHeight="1">
      <c r="A10" s="132" t="s">
        <v>47</v>
      </c>
      <c r="B10" s="8" t="s">
        <v>12</v>
      </c>
      <c r="C10" s="1">
        <v>63550</v>
      </c>
      <c r="D10" s="1">
        <f t="shared" ref="D10:I10" si="4">C10</f>
        <v>63550</v>
      </c>
      <c r="E10" s="1">
        <f t="shared" si="4"/>
        <v>63550</v>
      </c>
      <c r="F10" s="1">
        <f t="shared" si="4"/>
        <v>63550</v>
      </c>
      <c r="G10" s="1">
        <f t="shared" si="4"/>
        <v>63550</v>
      </c>
      <c r="H10" s="1">
        <f t="shared" si="4"/>
        <v>63550</v>
      </c>
      <c r="I10" s="1">
        <f t="shared" si="4"/>
        <v>63550</v>
      </c>
    </row>
    <row r="11" spans="1:15">
      <c r="A11" s="133"/>
      <c r="B11" s="8" t="s">
        <v>11</v>
      </c>
      <c r="C11" s="1">
        <f t="shared" ref="C11:I11" si="5">C6</f>
        <v>17500</v>
      </c>
      <c r="D11" s="1">
        <f t="shared" si="5"/>
        <v>15500</v>
      </c>
      <c r="E11" s="1">
        <f t="shared" si="5"/>
        <v>13500</v>
      </c>
      <c r="F11" s="1">
        <f t="shared" si="5"/>
        <v>11500</v>
      </c>
      <c r="G11" s="1">
        <f t="shared" si="5"/>
        <v>9500</v>
      </c>
      <c r="H11" s="1">
        <f t="shared" si="5"/>
        <v>8500</v>
      </c>
      <c r="I11" s="1">
        <f t="shared" si="5"/>
        <v>7500</v>
      </c>
    </row>
    <row r="12" spans="1:15">
      <c r="A12" s="133"/>
      <c r="B12" s="32" t="s">
        <v>53</v>
      </c>
      <c r="C12" s="33">
        <f>C7</f>
        <v>7000</v>
      </c>
      <c r="D12" s="33">
        <f>C12</f>
        <v>7000</v>
      </c>
      <c r="E12" s="33">
        <f t="shared" ref="E12:H12" si="6">D12</f>
        <v>7000</v>
      </c>
      <c r="F12" s="33">
        <f t="shared" si="6"/>
        <v>7000</v>
      </c>
      <c r="G12" s="33">
        <f t="shared" si="6"/>
        <v>7000</v>
      </c>
      <c r="H12" s="33">
        <f t="shared" si="6"/>
        <v>7000</v>
      </c>
      <c r="I12" s="33">
        <f>I7</f>
        <v>5000</v>
      </c>
    </row>
    <row r="13" spans="1:15">
      <c r="A13" s="133"/>
      <c r="B13" s="22" t="s">
        <v>51</v>
      </c>
      <c r="C13" s="33">
        <f>(((C10-C11)*0.95)*2)-C12*2</f>
        <v>73495</v>
      </c>
      <c r="D13" s="33">
        <f t="shared" ref="D13:I13" si="7">(((D10-D11)*0.95)*2)-D12*2</f>
        <v>77295</v>
      </c>
      <c r="E13" s="33">
        <f t="shared" si="7"/>
        <v>81095</v>
      </c>
      <c r="F13" s="33">
        <f t="shared" si="7"/>
        <v>84895</v>
      </c>
      <c r="G13" s="33">
        <f t="shared" si="7"/>
        <v>88695</v>
      </c>
      <c r="H13" s="33">
        <f t="shared" si="7"/>
        <v>90595</v>
      </c>
      <c r="I13" s="33">
        <f t="shared" si="7"/>
        <v>96495</v>
      </c>
    </row>
    <row r="14" spans="1:15">
      <c r="A14" s="133"/>
      <c r="B14" s="22" t="s">
        <v>52</v>
      </c>
      <c r="C14" s="33">
        <f>(C10-C11)-C12</f>
        <v>39050</v>
      </c>
      <c r="D14" s="33">
        <f t="shared" ref="D14:I14" si="8">(D10-D11)-D12</f>
        <v>41050</v>
      </c>
      <c r="E14" s="33">
        <f t="shared" si="8"/>
        <v>43050</v>
      </c>
      <c r="F14" s="33">
        <f t="shared" si="8"/>
        <v>45050</v>
      </c>
      <c r="G14" s="33">
        <f t="shared" si="8"/>
        <v>47050</v>
      </c>
      <c r="H14" s="33">
        <f t="shared" si="8"/>
        <v>48050</v>
      </c>
      <c r="I14" s="33">
        <f t="shared" si="8"/>
        <v>51050</v>
      </c>
    </row>
    <row r="15" spans="1:15">
      <c r="A15" s="132" t="s">
        <v>48</v>
      </c>
      <c r="B15" s="8" t="s">
        <v>12</v>
      </c>
      <c r="C15" s="1">
        <f>C10*1.05</f>
        <v>66727.5</v>
      </c>
      <c r="D15" s="1">
        <f t="shared" ref="D15:I15" si="9">C15</f>
        <v>66727.5</v>
      </c>
      <c r="E15" s="1">
        <f t="shared" si="9"/>
        <v>66727.5</v>
      </c>
      <c r="F15" s="1">
        <f t="shared" si="9"/>
        <v>66727.5</v>
      </c>
      <c r="G15" s="1">
        <f t="shared" si="9"/>
        <v>66727.5</v>
      </c>
      <c r="H15" s="1">
        <f t="shared" si="9"/>
        <v>66727.5</v>
      </c>
      <c r="I15" s="1">
        <f t="shared" si="9"/>
        <v>66727.5</v>
      </c>
    </row>
    <row r="16" spans="1:15">
      <c r="A16" s="133"/>
      <c r="B16" s="8" t="s">
        <v>11</v>
      </c>
      <c r="C16" s="1">
        <f t="shared" ref="C16:I16" si="10">C11</f>
        <v>17500</v>
      </c>
      <c r="D16" s="1">
        <f t="shared" si="10"/>
        <v>15500</v>
      </c>
      <c r="E16" s="1">
        <f t="shared" si="10"/>
        <v>13500</v>
      </c>
      <c r="F16" s="1">
        <f t="shared" si="10"/>
        <v>11500</v>
      </c>
      <c r="G16" s="1">
        <f t="shared" si="10"/>
        <v>9500</v>
      </c>
      <c r="H16" s="1">
        <f t="shared" si="10"/>
        <v>8500</v>
      </c>
      <c r="I16" s="1">
        <f t="shared" si="10"/>
        <v>7500</v>
      </c>
    </row>
    <row r="17" spans="1:15">
      <c r="A17" s="133"/>
      <c r="B17" s="34" t="s">
        <v>53</v>
      </c>
      <c r="C17" s="35">
        <f>C12</f>
        <v>7000</v>
      </c>
      <c r="D17" s="35">
        <f>C17</f>
        <v>7000</v>
      </c>
      <c r="E17" s="35">
        <f t="shared" ref="E17:H17" si="11">D17</f>
        <v>7000</v>
      </c>
      <c r="F17" s="35">
        <f t="shared" si="11"/>
        <v>7000</v>
      </c>
      <c r="G17" s="35">
        <f t="shared" si="11"/>
        <v>7000</v>
      </c>
      <c r="H17" s="35">
        <f t="shared" si="11"/>
        <v>7000</v>
      </c>
      <c r="I17" s="35">
        <f>I7</f>
        <v>5000</v>
      </c>
    </row>
    <row r="18" spans="1:15">
      <c r="A18" s="133"/>
      <c r="B18" s="23" t="s">
        <v>51</v>
      </c>
      <c r="C18" s="35">
        <f>(((C15-C16)*0.95)*2)-C17*2</f>
        <v>79532.25</v>
      </c>
      <c r="D18" s="35">
        <f t="shared" ref="D18:I18" si="12">(((D15-D16)*0.95)*2)-D17*2</f>
        <v>83332.25</v>
      </c>
      <c r="E18" s="35">
        <f t="shared" si="12"/>
        <v>87132.25</v>
      </c>
      <c r="F18" s="35">
        <f t="shared" si="12"/>
        <v>90932.25</v>
      </c>
      <c r="G18" s="35">
        <f t="shared" si="12"/>
        <v>94732.25</v>
      </c>
      <c r="H18" s="35">
        <f t="shared" si="12"/>
        <v>96632.25</v>
      </c>
      <c r="I18" s="35">
        <f t="shared" si="12"/>
        <v>102532.25</v>
      </c>
    </row>
    <row r="19" spans="1:15">
      <c r="A19" s="133"/>
      <c r="B19" s="23" t="s">
        <v>52</v>
      </c>
      <c r="C19" s="35">
        <f>(C15-C16)-C17</f>
        <v>42227.5</v>
      </c>
      <c r="D19" s="35">
        <f t="shared" ref="D19:I19" si="13">(D15-D16)-D17</f>
        <v>44227.5</v>
      </c>
      <c r="E19" s="35">
        <f t="shared" si="13"/>
        <v>46227.5</v>
      </c>
      <c r="F19" s="35">
        <f t="shared" si="13"/>
        <v>48227.5</v>
      </c>
      <c r="G19" s="35">
        <f t="shared" si="13"/>
        <v>50227.5</v>
      </c>
      <c r="H19" s="35">
        <f t="shared" si="13"/>
        <v>51227.5</v>
      </c>
      <c r="I19" s="35">
        <f t="shared" si="13"/>
        <v>54227.5</v>
      </c>
    </row>
    <row r="20" spans="1:15">
      <c r="A20" s="128" t="s">
        <v>13</v>
      </c>
      <c r="B20" s="128"/>
      <c r="C20" s="35">
        <f t="shared" ref="C20:I20" si="14">SUM(C8,C13,C18)</f>
        <v>223767.25</v>
      </c>
      <c r="D20" s="35">
        <f t="shared" si="14"/>
        <v>235167.25</v>
      </c>
      <c r="E20" s="35">
        <f t="shared" si="14"/>
        <v>246567.25</v>
      </c>
      <c r="F20" s="35">
        <f t="shared" si="14"/>
        <v>257967.25</v>
      </c>
      <c r="G20" s="35">
        <f t="shared" si="14"/>
        <v>269367.25</v>
      </c>
      <c r="H20" s="35">
        <f t="shared" si="14"/>
        <v>275067.25</v>
      </c>
      <c r="I20" s="35">
        <f t="shared" si="14"/>
        <v>292767.25</v>
      </c>
    </row>
    <row r="21" spans="1:15">
      <c r="A21" s="138" t="s">
        <v>14</v>
      </c>
      <c r="B21" s="138"/>
      <c r="C21" s="138"/>
      <c r="D21" s="138"/>
      <c r="E21" s="138"/>
      <c r="F21" s="138"/>
      <c r="G21" s="138"/>
      <c r="H21" s="138"/>
      <c r="I21" s="138"/>
    </row>
    <row r="22" spans="1:15" ht="28" customHeight="1">
      <c r="A22" s="132" t="s">
        <v>46</v>
      </c>
      <c r="B22" s="8" t="s">
        <v>15</v>
      </c>
      <c r="C22" s="1">
        <f>C5*0.75</f>
        <v>46575</v>
      </c>
      <c r="D22" s="1">
        <f t="shared" ref="D22:I22" si="15">C22</f>
        <v>46575</v>
      </c>
      <c r="E22" s="1">
        <f t="shared" si="15"/>
        <v>46575</v>
      </c>
      <c r="F22" s="1">
        <f t="shared" si="15"/>
        <v>46575</v>
      </c>
      <c r="G22" s="1">
        <f t="shared" si="15"/>
        <v>46575</v>
      </c>
      <c r="H22" s="1">
        <f t="shared" si="15"/>
        <v>46575</v>
      </c>
      <c r="I22" s="1">
        <f t="shared" si="15"/>
        <v>46575</v>
      </c>
      <c r="J22" s="10"/>
      <c r="K22" s="10"/>
      <c r="L22" s="10"/>
      <c r="M22" s="10"/>
      <c r="N22" s="10"/>
      <c r="O22" s="10"/>
    </row>
    <row r="23" spans="1:15">
      <c r="A23" s="133"/>
      <c r="B23" s="8" t="s">
        <v>11</v>
      </c>
      <c r="C23" s="40">
        <v>17500</v>
      </c>
      <c r="D23" s="41">
        <v>15500</v>
      </c>
      <c r="E23" s="41">
        <v>13500</v>
      </c>
      <c r="F23" s="41">
        <v>11500</v>
      </c>
      <c r="G23" s="42">
        <v>9500</v>
      </c>
      <c r="H23" s="43">
        <v>8500</v>
      </c>
      <c r="I23" s="43">
        <v>7500</v>
      </c>
    </row>
    <row r="24" spans="1:15">
      <c r="A24" s="133"/>
      <c r="B24" s="30" t="s">
        <v>51</v>
      </c>
      <c r="C24" s="31">
        <f>((C22-C23)*0.95)*2</f>
        <v>55242.5</v>
      </c>
      <c r="D24" s="31">
        <f t="shared" ref="D24:I24" si="16">((D22-D23)*0.95)*2</f>
        <v>59042.5</v>
      </c>
      <c r="E24" s="31">
        <f t="shared" si="16"/>
        <v>62842.5</v>
      </c>
      <c r="F24" s="31">
        <f t="shared" si="16"/>
        <v>66642.5</v>
      </c>
      <c r="G24" s="31">
        <f t="shared" si="16"/>
        <v>70442.5</v>
      </c>
      <c r="H24" s="31">
        <f t="shared" si="16"/>
        <v>72342.5</v>
      </c>
      <c r="I24" s="31">
        <f t="shared" si="16"/>
        <v>74242.5</v>
      </c>
      <c r="J24" s="10"/>
      <c r="K24" s="10"/>
      <c r="L24" s="10"/>
      <c r="M24" s="10"/>
      <c r="N24" s="10"/>
      <c r="O24" s="10"/>
    </row>
    <row r="25" spans="1:15">
      <c r="A25" s="133"/>
      <c r="B25" s="21" t="s">
        <v>52</v>
      </c>
      <c r="C25" s="31">
        <f>(C22-C23)</f>
        <v>29075</v>
      </c>
      <c r="D25" s="31">
        <f t="shared" ref="D25:I25" si="17">(D22-D23)</f>
        <v>31075</v>
      </c>
      <c r="E25" s="31">
        <f t="shared" si="17"/>
        <v>33075</v>
      </c>
      <c r="F25" s="31">
        <f t="shared" si="17"/>
        <v>35075</v>
      </c>
      <c r="G25" s="31">
        <f t="shared" si="17"/>
        <v>37075</v>
      </c>
      <c r="H25" s="31">
        <f t="shared" si="17"/>
        <v>38075</v>
      </c>
      <c r="I25" s="31">
        <f t="shared" si="17"/>
        <v>39075</v>
      </c>
      <c r="J25" s="10"/>
      <c r="K25" s="10"/>
      <c r="L25" s="10"/>
      <c r="M25" s="10"/>
      <c r="N25" s="10"/>
      <c r="O25" s="10"/>
    </row>
    <row r="26" spans="1:15" ht="24" customHeight="1">
      <c r="A26" s="132" t="s">
        <v>47</v>
      </c>
      <c r="B26" s="8" t="s">
        <v>15</v>
      </c>
      <c r="C26" s="1">
        <f>C10*0.75</f>
        <v>47662.5</v>
      </c>
      <c r="D26" s="1">
        <f t="shared" ref="D26:I26" si="18">C26</f>
        <v>47662.5</v>
      </c>
      <c r="E26" s="1">
        <f t="shared" si="18"/>
        <v>47662.5</v>
      </c>
      <c r="F26" s="1">
        <f t="shared" si="18"/>
        <v>47662.5</v>
      </c>
      <c r="G26" s="1">
        <f t="shared" si="18"/>
        <v>47662.5</v>
      </c>
      <c r="H26" s="1">
        <f t="shared" si="18"/>
        <v>47662.5</v>
      </c>
      <c r="I26" s="1">
        <f t="shared" si="18"/>
        <v>47662.5</v>
      </c>
    </row>
    <row r="27" spans="1:15">
      <c r="A27" s="133"/>
      <c r="B27" s="8" t="s">
        <v>11</v>
      </c>
      <c r="C27" s="1">
        <f t="shared" ref="C27:I27" si="19">C23</f>
        <v>17500</v>
      </c>
      <c r="D27" s="1">
        <f t="shared" si="19"/>
        <v>15500</v>
      </c>
      <c r="E27" s="1">
        <f t="shared" si="19"/>
        <v>13500</v>
      </c>
      <c r="F27" s="1">
        <f t="shared" si="19"/>
        <v>11500</v>
      </c>
      <c r="G27" s="1">
        <f t="shared" si="19"/>
        <v>9500</v>
      </c>
      <c r="H27" s="1">
        <f t="shared" si="19"/>
        <v>8500</v>
      </c>
      <c r="I27" s="1">
        <f t="shared" si="19"/>
        <v>7500</v>
      </c>
    </row>
    <row r="28" spans="1:15">
      <c r="A28" s="133"/>
      <c r="B28" s="32" t="s">
        <v>51</v>
      </c>
      <c r="C28" s="33">
        <f>((C26-C27)*0.95)*2</f>
        <v>57308.75</v>
      </c>
      <c r="D28" s="33">
        <f t="shared" ref="D28:I28" si="20">((D26-D27)*0.95)*2</f>
        <v>61108.75</v>
      </c>
      <c r="E28" s="33">
        <f t="shared" si="20"/>
        <v>64908.75</v>
      </c>
      <c r="F28" s="33">
        <f t="shared" si="20"/>
        <v>68708.75</v>
      </c>
      <c r="G28" s="33">
        <f t="shared" si="20"/>
        <v>72508.75</v>
      </c>
      <c r="H28" s="33">
        <f t="shared" si="20"/>
        <v>74408.75</v>
      </c>
      <c r="I28" s="33">
        <f t="shared" si="20"/>
        <v>76308.75</v>
      </c>
    </row>
    <row r="29" spans="1:15">
      <c r="A29" s="133"/>
      <c r="B29" s="22" t="s">
        <v>52</v>
      </c>
      <c r="C29" s="33">
        <f>(C26-C27)</f>
        <v>30162.5</v>
      </c>
      <c r="D29" s="33">
        <f t="shared" ref="D29:I29" si="21">(D26-D27)</f>
        <v>32162.5</v>
      </c>
      <c r="E29" s="33">
        <f t="shared" si="21"/>
        <v>34162.5</v>
      </c>
      <c r="F29" s="33">
        <f t="shared" si="21"/>
        <v>36162.5</v>
      </c>
      <c r="G29" s="33">
        <f t="shared" si="21"/>
        <v>38162.5</v>
      </c>
      <c r="H29" s="33">
        <f t="shared" si="21"/>
        <v>39162.5</v>
      </c>
      <c r="I29" s="33">
        <f t="shared" si="21"/>
        <v>40162.5</v>
      </c>
    </row>
    <row r="30" spans="1:15">
      <c r="A30" s="132" t="s">
        <v>48</v>
      </c>
      <c r="B30" s="8" t="s">
        <v>15</v>
      </c>
      <c r="C30" s="1">
        <f>C26*1.05</f>
        <v>50045.625</v>
      </c>
      <c r="D30" s="1">
        <f t="shared" ref="D30:I30" si="22">C30</f>
        <v>50045.625</v>
      </c>
      <c r="E30" s="1">
        <f t="shared" si="22"/>
        <v>50045.625</v>
      </c>
      <c r="F30" s="1">
        <f t="shared" si="22"/>
        <v>50045.625</v>
      </c>
      <c r="G30" s="1">
        <f t="shared" si="22"/>
        <v>50045.625</v>
      </c>
      <c r="H30" s="1">
        <f t="shared" si="22"/>
        <v>50045.625</v>
      </c>
      <c r="I30" s="1">
        <f t="shared" si="22"/>
        <v>50045.625</v>
      </c>
    </row>
    <row r="31" spans="1:15">
      <c r="A31" s="133"/>
      <c r="B31" s="8" t="s">
        <v>11</v>
      </c>
      <c r="C31" s="1">
        <f t="shared" ref="C31:I31" si="23">C27</f>
        <v>17500</v>
      </c>
      <c r="D31" s="1">
        <f t="shared" si="23"/>
        <v>15500</v>
      </c>
      <c r="E31" s="1">
        <f t="shared" si="23"/>
        <v>13500</v>
      </c>
      <c r="F31" s="1">
        <f t="shared" si="23"/>
        <v>11500</v>
      </c>
      <c r="G31" s="1">
        <f t="shared" si="23"/>
        <v>9500</v>
      </c>
      <c r="H31" s="1">
        <f t="shared" si="23"/>
        <v>8500</v>
      </c>
      <c r="I31" s="1">
        <f t="shared" si="23"/>
        <v>7500</v>
      </c>
    </row>
    <row r="32" spans="1:15">
      <c r="A32" s="133"/>
      <c r="B32" s="34" t="s">
        <v>51</v>
      </c>
      <c r="C32" s="35">
        <f>((C30-C31)*0.95)*2</f>
        <v>61836.6875</v>
      </c>
      <c r="D32" s="35">
        <f t="shared" ref="D32:I32" si="24">((D30-D31)*0.95)*2</f>
        <v>65636.6875</v>
      </c>
      <c r="E32" s="35">
        <f t="shared" si="24"/>
        <v>69436.6875</v>
      </c>
      <c r="F32" s="35">
        <f t="shared" si="24"/>
        <v>73236.6875</v>
      </c>
      <c r="G32" s="35">
        <f t="shared" si="24"/>
        <v>77036.6875</v>
      </c>
      <c r="H32" s="35">
        <f t="shared" si="24"/>
        <v>78936.6875</v>
      </c>
      <c r="I32" s="35">
        <f t="shared" si="24"/>
        <v>80836.6875</v>
      </c>
    </row>
    <row r="33" spans="1:9">
      <c r="A33" s="133"/>
      <c r="B33" s="23" t="s">
        <v>52</v>
      </c>
      <c r="C33" s="35">
        <f>(C30-C31)</f>
        <v>32545.625</v>
      </c>
      <c r="D33" s="35">
        <f t="shared" ref="D33:I33" si="25">(D30-D31)</f>
        <v>34545.625</v>
      </c>
      <c r="E33" s="35">
        <f t="shared" si="25"/>
        <v>36545.625</v>
      </c>
      <c r="F33" s="35">
        <f t="shared" si="25"/>
        <v>38545.625</v>
      </c>
      <c r="G33" s="35">
        <f t="shared" si="25"/>
        <v>40545.625</v>
      </c>
      <c r="H33" s="35">
        <f t="shared" si="25"/>
        <v>41545.625</v>
      </c>
      <c r="I33" s="35">
        <f t="shared" si="25"/>
        <v>42545.625</v>
      </c>
    </row>
    <row r="34" spans="1:9">
      <c r="A34" s="128" t="s">
        <v>13</v>
      </c>
      <c r="B34" s="128"/>
      <c r="C34" s="35">
        <f t="shared" ref="C34:I34" si="26">SUM(C24,C28,C32)</f>
        <v>174387.9375</v>
      </c>
      <c r="D34" s="35">
        <f t="shared" si="26"/>
        <v>185787.9375</v>
      </c>
      <c r="E34" s="35">
        <f t="shared" si="26"/>
        <v>197187.9375</v>
      </c>
      <c r="F34" s="35">
        <f t="shared" si="26"/>
        <v>208587.9375</v>
      </c>
      <c r="G34" s="35">
        <f t="shared" si="26"/>
        <v>219987.9375</v>
      </c>
      <c r="H34" s="35">
        <f t="shared" si="26"/>
        <v>225687.9375</v>
      </c>
      <c r="I34" s="35">
        <f t="shared" si="26"/>
        <v>231387.9375</v>
      </c>
    </row>
    <row r="35" spans="1:9" ht="16" customHeight="1">
      <c r="A35" s="105" t="s">
        <v>16</v>
      </c>
      <c r="B35" s="105"/>
      <c r="C35" s="105"/>
      <c r="D35" s="105"/>
      <c r="E35" s="105"/>
      <c r="F35" s="105"/>
      <c r="G35" s="105"/>
      <c r="H35" s="105"/>
      <c r="I35" s="105"/>
    </row>
    <row r="36" spans="1:9" ht="4" customHeight="1">
      <c r="A36" s="105"/>
      <c r="B36" s="105"/>
      <c r="C36" s="105"/>
      <c r="D36" s="105"/>
      <c r="E36" s="105"/>
      <c r="F36" s="105"/>
      <c r="G36" s="105"/>
      <c r="H36" s="105"/>
      <c r="I36" s="105"/>
    </row>
    <row r="37" spans="1:9" ht="2.0499999999999998" customHeight="1">
      <c r="A37" s="105"/>
      <c r="B37" s="105"/>
      <c r="C37" s="105"/>
      <c r="D37" s="105"/>
      <c r="E37" s="105"/>
      <c r="F37" s="105"/>
      <c r="G37" s="105"/>
      <c r="H37" s="105"/>
      <c r="I37" s="105"/>
    </row>
    <row r="38" spans="1:9">
      <c r="A38" s="121" t="s">
        <v>17</v>
      </c>
      <c r="B38" s="122"/>
      <c r="C38" s="118" t="s">
        <v>18</v>
      </c>
      <c r="D38" s="118"/>
      <c r="E38" s="2">
        <v>5000</v>
      </c>
      <c r="F38" s="3"/>
      <c r="G38" s="4"/>
    </row>
    <row r="39" spans="1:9">
      <c r="A39" s="123"/>
      <c r="B39" s="124"/>
      <c r="C39" s="119" t="s">
        <v>19</v>
      </c>
      <c r="D39" s="119"/>
      <c r="E39" s="5">
        <v>3000</v>
      </c>
      <c r="F39" s="3"/>
      <c r="G39" s="4"/>
    </row>
    <row r="40" spans="1:9" ht="16.3" thickBot="1">
      <c r="A40" s="123"/>
      <c r="B40" s="124"/>
      <c r="C40" s="120" t="s">
        <v>20</v>
      </c>
      <c r="D40" s="120"/>
      <c r="E40" s="11">
        <v>3000</v>
      </c>
      <c r="F40" s="6"/>
      <c r="G40" s="7"/>
    </row>
    <row r="41" spans="1:9">
      <c r="A41" s="127" t="s">
        <v>82</v>
      </c>
      <c r="B41" s="127"/>
      <c r="C41" s="128" t="s">
        <v>30</v>
      </c>
      <c r="D41" s="128"/>
      <c r="E41" s="8">
        <v>18500</v>
      </c>
      <c r="F41" s="115"/>
      <c r="G41" s="115"/>
      <c r="H41" s="115"/>
      <c r="I41" s="129"/>
    </row>
    <row r="42" spans="1:9">
      <c r="A42" s="127"/>
      <c r="B42" s="127"/>
      <c r="C42" s="128" t="s">
        <v>31</v>
      </c>
      <c r="D42" s="128"/>
      <c r="E42" s="8">
        <v>9750</v>
      </c>
      <c r="F42" s="117"/>
      <c r="G42" s="117"/>
      <c r="H42" s="117"/>
      <c r="I42" s="130"/>
    </row>
    <row r="43" spans="1:9" ht="23.15">
      <c r="A43" s="12" t="s">
        <v>21</v>
      </c>
      <c r="B43" s="12" t="s">
        <v>22</v>
      </c>
      <c r="C43" s="13" t="s">
        <v>23</v>
      </c>
      <c r="D43" s="13" t="s">
        <v>24</v>
      </c>
      <c r="E43" s="13" t="s">
        <v>25</v>
      </c>
      <c r="F43" s="13" t="s">
        <v>26</v>
      </c>
      <c r="G43" s="12" t="s">
        <v>27</v>
      </c>
      <c r="H43" s="12" t="s">
        <v>28</v>
      </c>
      <c r="I43" s="12" t="s">
        <v>29</v>
      </c>
    </row>
    <row r="44" spans="1:9">
      <c r="A44" s="9" t="s">
        <v>30</v>
      </c>
      <c r="B44" s="5">
        <f>B45*2</f>
        <v>7000</v>
      </c>
      <c r="C44" s="5">
        <f t="shared" ref="C44:H44" si="27">C45*2</f>
        <v>5000</v>
      </c>
      <c r="D44" s="5">
        <f>1000</f>
        <v>1000</v>
      </c>
      <c r="E44" s="5">
        <f t="shared" si="27"/>
        <v>1500</v>
      </c>
      <c r="F44" s="5">
        <f t="shared" si="27"/>
        <v>1000</v>
      </c>
      <c r="G44" s="5">
        <f t="shared" si="27"/>
        <v>1000</v>
      </c>
      <c r="H44" s="5">
        <f t="shared" si="27"/>
        <v>2000</v>
      </c>
      <c r="I44" s="5">
        <f>SUM(B44:H44)</f>
        <v>18500</v>
      </c>
    </row>
    <row r="45" spans="1:9">
      <c r="A45" s="9" t="s">
        <v>31</v>
      </c>
      <c r="B45" s="5">
        <v>3500</v>
      </c>
      <c r="C45" s="5">
        <v>2500</v>
      </c>
      <c r="D45" s="14">
        <v>1000</v>
      </c>
      <c r="E45" s="14">
        <v>750</v>
      </c>
      <c r="F45" s="14">
        <v>500</v>
      </c>
      <c r="G45" s="5">
        <v>500</v>
      </c>
      <c r="H45" s="5">
        <v>1000</v>
      </c>
      <c r="I45" s="5">
        <f>SUM(B45:H45)</f>
        <v>9750</v>
      </c>
    </row>
    <row r="46" spans="1:9" ht="16" customHeight="1">
      <c r="A46" s="104" t="s">
        <v>54</v>
      </c>
      <c r="B46" s="104"/>
      <c r="C46" s="104"/>
      <c r="D46" s="104"/>
      <c r="E46" s="104"/>
      <c r="F46" s="104"/>
      <c r="G46" s="104"/>
      <c r="H46" s="104"/>
      <c r="I46" s="104"/>
    </row>
    <row r="47" spans="1:9" ht="30.55" customHeight="1">
      <c r="A47" s="104" t="s">
        <v>55</v>
      </c>
      <c r="B47" s="104"/>
      <c r="C47" s="104"/>
      <c r="D47" s="104"/>
      <c r="E47" s="104"/>
      <c r="F47" s="104"/>
      <c r="G47" s="104"/>
      <c r="H47" s="104"/>
      <c r="I47" s="104"/>
    </row>
    <row r="48" spans="1:9" ht="38.049999999999997" customHeight="1">
      <c r="A48" s="152" t="s">
        <v>56</v>
      </c>
      <c r="B48" s="152"/>
      <c r="C48" s="152"/>
      <c r="D48" s="152"/>
      <c r="E48" s="152"/>
      <c r="F48" s="152"/>
      <c r="G48" s="152"/>
      <c r="H48" s="152"/>
      <c r="I48" s="152"/>
    </row>
    <row r="49" spans="1:9" ht="14.5" customHeight="1">
      <c r="A49" s="104" t="s">
        <v>32</v>
      </c>
      <c r="B49" s="104"/>
      <c r="C49" s="104"/>
      <c r="D49" s="104"/>
      <c r="E49" s="104"/>
      <c r="F49" s="104"/>
      <c r="G49" s="104"/>
      <c r="H49" s="104"/>
      <c r="I49" s="104"/>
    </row>
    <row r="50" spans="1:9">
      <c r="A50" s="149" t="s">
        <v>86</v>
      </c>
      <c r="B50" s="150"/>
      <c r="C50" s="150"/>
      <c r="D50" s="150"/>
      <c r="E50" s="150"/>
      <c r="F50" s="150"/>
      <c r="G50" s="150"/>
      <c r="H50" s="150"/>
      <c r="I50" s="151"/>
    </row>
    <row r="51" spans="1:9">
      <c r="A51" s="153" t="s">
        <v>80</v>
      </c>
      <c r="B51" s="153"/>
      <c r="C51" s="153"/>
      <c r="D51" s="153"/>
      <c r="E51" s="153"/>
      <c r="F51" s="153"/>
      <c r="G51" s="153"/>
      <c r="H51" s="153"/>
      <c r="I51" s="153"/>
    </row>
    <row r="52" spans="1:9">
      <c r="A52" s="104" t="s">
        <v>9</v>
      </c>
      <c r="B52" s="104"/>
      <c r="C52" s="104"/>
      <c r="D52" s="104"/>
      <c r="E52" s="104"/>
      <c r="F52" s="104"/>
      <c r="G52" s="104"/>
      <c r="H52" s="104"/>
      <c r="I52" s="104"/>
    </row>
  </sheetData>
  <mergeCells count="28">
    <mergeCell ref="A15:A19"/>
    <mergeCell ref="A1:I1"/>
    <mergeCell ref="A2:I2"/>
    <mergeCell ref="A4:I4"/>
    <mergeCell ref="A5:A9"/>
    <mergeCell ref="A10:A14"/>
    <mergeCell ref="A41:B42"/>
    <mergeCell ref="C41:D41"/>
    <mergeCell ref="F41:I42"/>
    <mergeCell ref="C42:D42"/>
    <mergeCell ref="A20:B20"/>
    <mergeCell ref="A21:I21"/>
    <mergeCell ref="A22:A25"/>
    <mergeCell ref="A26:A29"/>
    <mergeCell ref="A30:A33"/>
    <mergeCell ref="A34:B34"/>
    <mergeCell ref="A35:I37"/>
    <mergeCell ref="A38:B40"/>
    <mergeCell ref="C38:D38"/>
    <mergeCell ref="C39:D39"/>
    <mergeCell ref="C40:D40"/>
    <mergeCell ref="A52:I52"/>
    <mergeCell ref="A46:I46"/>
    <mergeCell ref="A47:I47"/>
    <mergeCell ref="A48:I48"/>
    <mergeCell ref="A49:I49"/>
    <mergeCell ref="A50:I50"/>
    <mergeCell ref="A51:I51"/>
  </mergeCells>
  <pageMargins left="0.7" right="0.7" top="0.75" bottom="0.75" header="0.3" footer="0.3"/>
  <pageSetup paperSize="9" scale="4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A277-685B-4B4C-AAE1-A078553B3B26}">
  <sheetPr>
    <pageSetUpPr fitToPage="1"/>
  </sheetPr>
  <dimension ref="A1:O52"/>
  <sheetViews>
    <sheetView topLeftCell="A12" zoomScale="67" workbookViewId="0">
      <selection activeCell="A52" sqref="A52:I52"/>
    </sheetView>
  </sheetViews>
  <sheetFormatPr defaultColWidth="8.85546875" defaultRowHeight="15.9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9" width="16.640625" customWidth="1"/>
  </cols>
  <sheetData>
    <row r="1" spans="1:15">
      <c r="A1" s="134" t="s">
        <v>96</v>
      </c>
      <c r="B1" s="134"/>
      <c r="C1" s="134"/>
      <c r="D1" s="134"/>
      <c r="E1" s="134"/>
      <c r="F1" s="134"/>
      <c r="G1" s="134"/>
      <c r="H1" s="134"/>
      <c r="I1" s="134"/>
    </row>
    <row r="2" spans="1:15" ht="46.3" customHeight="1">
      <c r="A2" s="134" t="s">
        <v>101</v>
      </c>
      <c r="B2" s="134"/>
      <c r="C2" s="134"/>
      <c r="D2" s="134"/>
      <c r="E2" s="134"/>
      <c r="F2" s="134"/>
      <c r="G2" s="134"/>
      <c r="H2" s="134"/>
      <c r="I2" s="134"/>
    </row>
    <row r="3" spans="1:15" ht="85.3" customHeight="1">
      <c r="A3" s="15" t="s">
        <v>1</v>
      </c>
      <c r="B3" s="16" t="s">
        <v>2</v>
      </c>
      <c r="C3" s="15" t="s">
        <v>37</v>
      </c>
      <c r="D3" s="15" t="s">
        <v>38</v>
      </c>
      <c r="E3" s="15" t="s">
        <v>39</v>
      </c>
      <c r="F3" s="15" t="s">
        <v>40</v>
      </c>
      <c r="G3" s="15" t="s">
        <v>41</v>
      </c>
      <c r="H3" s="15" t="s">
        <v>42</v>
      </c>
      <c r="I3" s="15" t="s">
        <v>78</v>
      </c>
    </row>
    <row r="4" spans="1:15" ht="85.3" customHeight="1">
      <c r="A4" s="106" t="s">
        <v>0</v>
      </c>
      <c r="B4" s="107"/>
      <c r="C4" s="107"/>
      <c r="D4" s="107"/>
      <c r="E4" s="107"/>
      <c r="F4" s="107"/>
      <c r="G4" s="107"/>
      <c r="H4" s="107"/>
      <c r="I4" s="108"/>
    </row>
    <row r="5" spans="1:15">
      <c r="A5" s="132" t="s">
        <v>46</v>
      </c>
      <c r="B5" s="8" t="s">
        <v>10</v>
      </c>
      <c r="C5" s="1">
        <v>62100</v>
      </c>
      <c r="D5" s="1">
        <f>C5</f>
        <v>62100</v>
      </c>
      <c r="E5" s="1">
        <f t="shared" ref="E5:I5" si="0">D5</f>
        <v>62100</v>
      </c>
      <c r="F5" s="1">
        <f t="shared" si="0"/>
        <v>62100</v>
      </c>
      <c r="G5" s="1">
        <f t="shared" si="0"/>
        <v>62100</v>
      </c>
      <c r="H5" s="1">
        <f t="shared" si="0"/>
        <v>62100</v>
      </c>
      <c r="I5" s="1">
        <f t="shared" si="0"/>
        <v>62100</v>
      </c>
    </row>
    <row r="6" spans="1:15">
      <c r="A6" s="133"/>
      <c r="B6" s="8" t="s">
        <v>11</v>
      </c>
      <c r="C6" s="40">
        <v>17500</v>
      </c>
      <c r="D6" s="41">
        <v>15500</v>
      </c>
      <c r="E6" s="41">
        <v>13500</v>
      </c>
      <c r="F6" s="41">
        <v>11500</v>
      </c>
      <c r="G6" s="42">
        <v>9500</v>
      </c>
      <c r="H6" s="43">
        <v>8500</v>
      </c>
      <c r="I6" s="43">
        <v>7500</v>
      </c>
    </row>
    <row r="7" spans="1:15">
      <c r="A7" s="133"/>
      <c r="B7" s="30" t="s">
        <v>53</v>
      </c>
      <c r="C7" s="31">
        <v>7000</v>
      </c>
      <c r="D7" s="31">
        <f>C7</f>
        <v>7000</v>
      </c>
      <c r="E7" s="31">
        <f t="shared" ref="E7:H7" si="1">D7</f>
        <v>7000</v>
      </c>
      <c r="F7" s="31">
        <f t="shared" si="1"/>
        <v>7000</v>
      </c>
      <c r="G7" s="31">
        <f t="shared" si="1"/>
        <v>7000</v>
      </c>
      <c r="H7" s="31">
        <f t="shared" si="1"/>
        <v>7000</v>
      </c>
      <c r="I7" s="31">
        <v>5000</v>
      </c>
    </row>
    <row r="8" spans="1:15">
      <c r="A8" s="133"/>
      <c r="B8" s="21" t="s">
        <v>51</v>
      </c>
      <c r="C8" s="31">
        <f>(((C5-C6)*0.95)*2)-C7*2</f>
        <v>70740</v>
      </c>
      <c r="D8" s="31">
        <f t="shared" ref="D8:I8" si="2">(((D5-D6)*0.95)*2)-D7*2</f>
        <v>74540</v>
      </c>
      <c r="E8" s="31">
        <f t="shared" si="2"/>
        <v>78340</v>
      </c>
      <c r="F8" s="31">
        <f t="shared" si="2"/>
        <v>82140</v>
      </c>
      <c r="G8" s="31">
        <f t="shared" si="2"/>
        <v>85940</v>
      </c>
      <c r="H8" s="31">
        <f t="shared" si="2"/>
        <v>87840</v>
      </c>
      <c r="I8" s="31">
        <f t="shared" si="2"/>
        <v>93740</v>
      </c>
      <c r="J8" s="10"/>
      <c r="K8" s="10"/>
      <c r="L8" s="10"/>
      <c r="M8" s="10"/>
      <c r="N8" s="10"/>
      <c r="O8" s="10"/>
    </row>
    <row r="9" spans="1:15">
      <c r="A9" s="133"/>
      <c r="B9" s="21" t="s">
        <v>52</v>
      </c>
      <c r="C9" s="31">
        <f>(C5-C6)-C7</f>
        <v>37600</v>
      </c>
      <c r="D9" s="31">
        <f t="shared" ref="D9:I9" si="3">(D5-D6)-D7</f>
        <v>39600</v>
      </c>
      <c r="E9" s="31">
        <f t="shared" si="3"/>
        <v>41600</v>
      </c>
      <c r="F9" s="31">
        <f t="shared" si="3"/>
        <v>43600</v>
      </c>
      <c r="G9" s="31">
        <f t="shared" si="3"/>
        <v>45600</v>
      </c>
      <c r="H9" s="31">
        <f t="shared" si="3"/>
        <v>46600</v>
      </c>
      <c r="I9" s="31">
        <f t="shared" si="3"/>
        <v>49600</v>
      </c>
      <c r="J9" s="10"/>
      <c r="K9" s="10"/>
      <c r="L9" s="10"/>
      <c r="M9" s="10"/>
      <c r="N9" s="10"/>
      <c r="O9" s="10"/>
    </row>
    <row r="10" spans="1:15" ht="16" customHeight="1">
      <c r="A10" s="132" t="s">
        <v>47</v>
      </c>
      <c r="B10" s="8" t="s">
        <v>12</v>
      </c>
      <c r="C10" s="1">
        <v>63550</v>
      </c>
      <c r="D10" s="1">
        <f t="shared" ref="D10:I10" si="4">C10</f>
        <v>63550</v>
      </c>
      <c r="E10" s="1">
        <f t="shared" si="4"/>
        <v>63550</v>
      </c>
      <c r="F10" s="1">
        <f t="shared" si="4"/>
        <v>63550</v>
      </c>
      <c r="G10" s="1">
        <f t="shared" si="4"/>
        <v>63550</v>
      </c>
      <c r="H10" s="1">
        <f t="shared" si="4"/>
        <v>63550</v>
      </c>
      <c r="I10" s="1">
        <f t="shared" si="4"/>
        <v>63550</v>
      </c>
    </row>
    <row r="11" spans="1:15">
      <c r="A11" s="133"/>
      <c r="B11" s="8" t="s">
        <v>11</v>
      </c>
      <c r="C11" s="1">
        <f t="shared" ref="C11:I11" si="5">C6</f>
        <v>17500</v>
      </c>
      <c r="D11" s="1">
        <f t="shared" si="5"/>
        <v>15500</v>
      </c>
      <c r="E11" s="1">
        <f t="shared" si="5"/>
        <v>13500</v>
      </c>
      <c r="F11" s="1">
        <f t="shared" si="5"/>
        <v>11500</v>
      </c>
      <c r="G11" s="1">
        <f t="shared" si="5"/>
        <v>9500</v>
      </c>
      <c r="H11" s="1">
        <f t="shared" si="5"/>
        <v>8500</v>
      </c>
      <c r="I11" s="1">
        <f t="shared" si="5"/>
        <v>7500</v>
      </c>
    </row>
    <row r="12" spans="1:15">
      <c r="A12" s="133"/>
      <c r="B12" s="32" t="s">
        <v>53</v>
      </c>
      <c r="C12" s="33">
        <f>C7</f>
        <v>7000</v>
      </c>
      <c r="D12" s="33">
        <f>C12</f>
        <v>7000</v>
      </c>
      <c r="E12" s="33">
        <f t="shared" ref="E12:H12" si="6">D12</f>
        <v>7000</v>
      </c>
      <c r="F12" s="33">
        <f t="shared" si="6"/>
        <v>7000</v>
      </c>
      <c r="G12" s="33">
        <f t="shared" si="6"/>
        <v>7000</v>
      </c>
      <c r="H12" s="33">
        <f t="shared" si="6"/>
        <v>7000</v>
      </c>
      <c r="I12" s="33">
        <f>I7</f>
        <v>5000</v>
      </c>
    </row>
    <row r="13" spans="1:15">
      <c r="A13" s="133"/>
      <c r="B13" s="22" t="s">
        <v>51</v>
      </c>
      <c r="C13" s="33">
        <f>(((C10-C11)*0.95)*2)-C12*2</f>
        <v>73495</v>
      </c>
      <c r="D13" s="33">
        <f t="shared" ref="D13:I13" si="7">(((D10-D11)*0.95)*2)-D12*2</f>
        <v>77295</v>
      </c>
      <c r="E13" s="33">
        <f t="shared" si="7"/>
        <v>81095</v>
      </c>
      <c r="F13" s="33">
        <f t="shared" si="7"/>
        <v>84895</v>
      </c>
      <c r="G13" s="33">
        <f t="shared" si="7"/>
        <v>88695</v>
      </c>
      <c r="H13" s="33">
        <f t="shared" si="7"/>
        <v>90595</v>
      </c>
      <c r="I13" s="33">
        <f t="shared" si="7"/>
        <v>96495</v>
      </c>
    </row>
    <row r="14" spans="1:15">
      <c r="A14" s="133"/>
      <c r="B14" s="22" t="s">
        <v>52</v>
      </c>
      <c r="C14" s="33">
        <f>(C10-C11)-C12</f>
        <v>39050</v>
      </c>
      <c r="D14" s="33">
        <f t="shared" ref="D14:I14" si="8">(D10-D11)-D12</f>
        <v>41050</v>
      </c>
      <c r="E14" s="33">
        <f t="shared" si="8"/>
        <v>43050</v>
      </c>
      <c r="F14" s="33">
        <f t="shared" si="8"/>
        <v>45050</v>
      </c>
      <c r="G14" s="33">
        <f t="shared" si="8"/>
        <v>47050</v>
      </c>
      <c r="H14" s="33">
        <f t="shared" si="8"/>
        <v>48050</v>
      </c>
      <c r="I14" s="33">
        <f t="shared" si="8"/>
        <v>51050</v>
      </c>
    </row>
    <row r="15" spans="1:15">
      <c r="A15" s="132" t="s">
        <v>48</v>
      </c>
      <c r="B15" s="8" t="s">
        <v>12</v>
      </c>
      <c r="C15" s="1">
        <f>C10*1.05</f>
        <v>66727.5</v>
      </c>
      <c r="D15" s="1">
        <f t="shared" ref="D15:I15" si="9">C15</f>
        <v>66727.5</v>
      </c>
      <c r="E15" s="1">
        <f t="shared" si="9"/>
        <v>66727.5</v>
      </c>
      <c r="F15" s="1">
        <f t="shared" si="9"/>
        <v>66727.5</v>
      </c>
      <c r="G15" s="1">
        <f t="shared" si="9"/>
        <v>66727.5</v>
      </c>
      <c r="H15" s="1">
        <f t="shared" si="9"/>
        <v>66727.5</v>
      </c>
      <c r="I15" s="1">
        <f t="shared" si="9"/>
        <v>66727.5</v>
      </c>
    </row>
    <row r="16" spans="1:15">
      <c r="A16" s="133"/>
      <c r="B16" s="8" t="s">
        <v>11</v>
      </c>
      <c r="C16" s="1">
        <f t="shared" ref="C16:I16" si="10">C11</f>
        <v>17500</v>
      </c>
      <c r="D16" s="1">
        <f t="shared" si="10"/>
        <v>15500</v>
      </c>
      <c r="E16" s="1">
        <f t="shared" si="10"/>
        <v>13500</v>
      </c>
      <c r="F16" s="1">
        <f t="shared" si="10"/>
        <v>11500</v>
      </c>
      <c r="G16" s="1">
        <f t="shared" si="10"/>
        <v>9500</v>
      </c>
      <c r="H16" s="1">
        <f t="shared" si="10"/>
        <v>8500</v>
      </c>
      <c r="I16" s="1">
        <f t="shared" si="10"/>
        <v>7500</v>
      </c>
    </row>
    <row r="17" spans="1:15">
      <c r="A17" s="133"/>
      <c r="B17" s="34" t="s">
        <v>53</v>
      </c>
      <c r="C17" s="35">
        <f>C12</f>
        <v>7000</v>
      </c>
      <c r="D17" s="35">
        <f>C17</f>
        <v>7000</v>
      </c>
      <c r="E17" s="35">
        <f t="shared" ref="E17:H17" si="11">D17</f>
        <v>7000</v>
      </c>
      <c r="F17" s="35">
        <f t="shared" si="11"/>
        <v>7000</v>
      </c>
      <c r="G17" s="35">
        <f t="shared" si="11"/>
        <v>7000</v>
      </c>
      <c r="H17" s="35">
        <f t="shared" si="11"/>
        <v>7000</v>
      </c>
      <c r="I17" s="35">
        <f>I7</f>
        <v>5000</v>
      </c>
    </row>
    <row r="18" spans="1:15">
      <c r="A18" s="133"/>
      <c r="B18" s="23" t="s">
        <v>51</v>
      </c>
      <c r="C18" s="35">
        <f>(((C15-C16)*0.95)*2)-C17*2</f>
        <v>79532.25</v>
      </c>
      <c r="D18" s="35">
        <f t="shared" ref="D18:I18" si="12">(((D15-D16)*0.95)*2)-D17*2</f>
        <v>83332.25</v>
      </c>
      <c r="E18" s="35">
        <f t="shared" si="12"/>
        <v>87132.25</v>
      </c>
      <c r="F18" s="35">
        <f t="shared" si="12"/>
        <v>90932.25</v>
      </c>
      <c r="G18" s="35">
        <f t="shared" si="12"/>
        <v>94732.25</v>
      </c>
      <c r="H18" s="35">
        <f t="shared" si="12"/>
        <v>96632.25</v>
      </c>
      <c r="I18" s="35">
        <f t="shared" si="12"/>
        <v>102532.25</v>
      </c>
    </row>
    <row r="19" spans="1:15">
      <c r="A19" s="133"/>
      <c r="B19" s="23" t="s">
        <v>52</v>
      </c>
      <c r="C19" s="35">
        <f>(C15-C16)-C17</f>
        <v>42227.5</v>
      </c>
      <c r="D19" s="35">
        <f t="shared" ref="D19:I19" si="13">(D15-D16)-D17</f>
        <v>44227.5</v>
      </c>
      <c r="E19" s="35">
        <f t="shared" si="13"/>
        <v>46227.5</v>
      </c>
      <c r="F19" s="35">
        <f t="shared" si="13"/>
        <v>48227.5</v>
      </c>
      <c r="G19" s="35">
        <f t="shared" si="13"/>
        <v>50227.5</v>
      </c>
      <c r="H19" s="35">
        <f t="shared" si="13"/>
        <v>51227.5</v>
      </c>
      <c r="I19" s="35">
        <f t="shared" si="13"/>
        <v>54227.5</v>
      </c>
    </row>
    <row r="20" spans="1:15">
      <c r="A20" s="128" t="s">
        <v>13</v>
      </c>
      <c r="B20" s="128"/>
      <c r="C20" s="35">
        <f t="shared" ref="C20:I20" si="14">SUM(C8,C13,C18)</f>
        <v>223767.25</v>
      </c>
      <c r="D20" s="35">
        <f t="shared" si="14"/>
        <v>235167.25</v>
      </c>
      <c r="E20" s="35">
        <f t="shared" si="14"/>
        <v>246567.25</v>
      </c>
      <c r="F20" s="35">
        <f t="shared" si="14"/>
        <v>257967.25</v>
      </c>
      <c r="G20" s="35">
        <f t="shared" si="14"/>
        <v>269367.25</v>
      </c>
      <c r="H20" s="35">
        <f t="shared" si="14"/>
        <v>275067.25</v>
      </c>
      <c r="I20" s="35">
        <f t="shared" si="14"/>
        <v>292767.25</v>
      </c>
    </row>
    <row r="21" spans="1:15">
      <c r="A21" s="138" t="s">
        <v>14</v>
      </c>
      <c r="B21" s="138"/>
      <c r="C21" s="138"/>
      <c r="D21" s="138"/>
      <c r="E21" s="138"/>
      <c r="F21" s="138"/>
      <c r="G21" s="138"/>
      <c r="H21" s="138"/>
      <c r="I21" s="138"/>
    </row>
    <row r="22" spans="1:15" ht="28" customHeight="1">
      <c r="A22" s="132" t="s">
        <v>46</v>
      </c>
      <c r="B22" s="8" t="s">
        <v>15</v>
      </c>
      <c r="C22" s="1">
        <f>C5*0.75</f>
        <v>46575</v>
      </c>
      <c r="D22" s="1">
        <f t="shared" ref="D22:I22" si="15">C22</f>
        <v>46575</v>
      </c>
      <c r="E22" s="1">
        <f t="shared" si="15"/>
        <v>46575</v>
      </c>
      <c r="F22" s="1">
        <f t="shared" si="15"/>
        <v>46575</v>
      </c>
      <c r="G22" s="1">
        <f t="shared" si="15"/>
        <v>46575</v>
      </c>
      <c r="H22" s="1">
        <f t="shared" si="15"/>
        <v>46575</v>
      </c>
      <c r="I22" s="1">
        <f t="shared" si="15"/>
        <v>46575</v>
      </c>
      <c r="J22" s="10"/>
      <c r="K22" s="10"/>
      <c r="L22" s="10"/>
      <c r="M22" s="10"/>
      <c r="N22" s="10"/>
      <c r="O22" s="10"/>
    </row>
    <row r="23" spans="1:15">
      <c r="A23" s="133"/>
      <c r="B23" s="8" t="s">
        <v>11</v>
      </c>
      <c r="C23" s="40">
        <v>17500</v>
      </c>
      <c r="D23" s="41">
        <v>15500</v>
      </c>
      <c r="E23" s="41">
        <v>13500</v>
      </c>
      <c r="F23" s="41">
        <v>11500</v>
      </c>
      <c r="G23" s="42">
        <v>9500</v>
      </c>
      <c r="H23" s="43">
        <v>8500</v>
      </c>
      <c r="I23" s="43">
        <v>7500</v>
      </c>
    </row>
    <row r="24" spans="1:15">
      <c r="A24" s="133"/>
      <c r="B24" s="30" t="s">
        <v>51</v>
      </c>
      <c r="C24" s="31">
        <f>((C22-C23)*0.95)*2</f>
        <v>55242.5</v>
      </c>
      <c r="D24" s="31">
        <f t="shared" ref="D24:I24" si="16">((D22-D23)*0.95)*2</f>
        <v>59042.5</v>
      </c>
      <c r="E24" s="31">
        <f t="shared" si="16"/>
        <v>62842.5</v>
      </c>
      <c r="F24" s="31">
        <f t="shared" si="16"/>
        <v>66642.5</v>
      </c>
      <c r="G24" s="31">
        <f t="shared" si="16"/>
        <v>70442.5</v>
      </c>
      <c r="H24" s="31">
        <f t="shared" si="16"/>
        <v>72342.5</v>
      </c>
      <c r="I24" s="31">
        <f t="shared" si="16"/>
        <v>74242.5</v>
      </c>
      <c r="J24" s="10"/>
      <c r="K24" s="10"/>
      <c r="L24" s="10"/>
      <c r="M24" s="10"/>
      <c r="N24" s="10"/>
      <c r="O24" s="10"/>
    </row>
    <row r="25" spans="1:15">
      <c r="A25" s="133"/>
      <c r="B25" s="21" t="s">
        <v>52</v>
      </c>
      <c r="C25" s="31">
        <f>(C22-C23)</f>
        <v>29075</v>
      </c>
      <c r="D25" s="31">
        <f t="shared" ref="D25:I25" si="17">(D22-D23)</f>
        <v>31075</v>
      </c>
      <c r="E25" s="31">
        <f t="shared" si="17"/>
        <v>33075</v>
      </c>
      <c r="F25" s="31">
        <f t="shared" si="17"/>
        <v>35075</v>
      </c>
      <c r="G25" s="31">
        <f t="shared" si="17"/>
        <v>37075</v>
      </c>
      <c r="H25" s="31">
        <f t="shared" si="17"/>
        <v>38075</v>
      </c>
      <c r="I25" s="31">
        <f t="shared" si="17"/>
        <v>39075</v>
      </c>
      <c r="J25" s="10"/>
      <c r="K25" s="10"/>
      <c r="L25" s="10"/>
      <c r="M25" s="10"/>
      <c r="N25" s="10"/>
      <c r="O25" s="10"/>
    </row>
    <row r="26" spans="1:15" ht="24" customHeight="1">
      <c r="A26" s="132" t="s">
        <v>47</v>
      </c>
      <c r="B26" s="8" t="s">
        <v>15</v>
      </c>
      <c r="C26" s="1">
        <f>C10*0.75</f>
        <v>47662.5</v>
      </c>
      <c r="D26" s="1">
        <f t="shared" ref="D26:I26" si="18">C26</f>
        <v>47662.5</v>
      </c>
      <c r="E26" s="1">
        <f t="shared" si="18"/>
        <v>47662.5</v>
      </c>
      <c r="F26" s="1">
        <f t="shared" si="18"/>
        <v>47662.5</v>
      </c>
      <c r="G26" s="1">
        <f t="shared" si="18"/>
        <v>47662.5</v>
      </c>
      <c r="H26" s="1">
        <f t="shared" si="18"/>
        <v>47662.5</v>
      </c>
      <c r="I26" s="1">
        <f t="shared" si="18"/>
        <v>47662.5</v>
      </c>
    </row>
    <row r="27" spans="1:15">
      <c r="A27" s="133"/>
      <c r="B27" s="8" t="s">
        <v>11</v>
      </c>
      <c r="C27" s="1">
        <f t="shared" ref="C27:I27" si="19">C23</f>
        <v>17500</v>
      </c>
      <c r="D27" s="1">
        <f t="shared" si="19"/>
        <v>15500</v>
      </c>
      <c r="E27" s="1">
        <f t="shared" si="19"/>
        <v>13500</v>
      </c>
      <c r="F27" s="1">
        <f t="shared" si="19"/>
        <v>11500</v>
      </c>
      <c r="G27" s="1">
        <f t="shared" si="19"/>
        <v>9500</v>
      </c>
      <c r="H27" s="1">
        <f t="shared" si="19"/>
        <v>8500</v>
      </c>
      <c r="I27" s="1">
        <f t="shared" si="19"/>
        <v>7500</v>
      </c>
    </row>
    <row r="28" spans="1:15">
      <c r="A28" s="133"/>
      <c r="B28" s="32" t="s">
        <v>51</v>
      </c>
      <c r="C28" s="33">
        <f>((C26-C27)*0.95)*2</f>
        <v>57308.75</v>
      </c>
      <c r="D28" s="33">
        <f t="shared" ref="D28:I28" si="20">((D26-D27)*0.95)*2</f>
        <v>61108.75</v>
      </c>
      <c r="E28" s="33">
        <f t="shared" si="20"/>
        <v>64908.75</v>
      </c>
      <c r="F28" s="33">
        <f t="shared" si="20"/>
        <v>68708.75</v>
      </c>
      <c r="G28" s="33">
        <f t="shared" si="20"/>
        <v>72508.75</v>
      </c>
      <c r="H28" s="33">
        <f t="shared" si="20"/>
        <v>74408.75</v>
      </c>
      <c r="I28" s="33">
        <f t="shared" si="20"/>
        <v>76308.75</v>
      </c>
    </row>
    <row r="29" spans="1:15">
      <c r="A29" s="133"/>
      <c r="B29" s="22" t="s">
        <v>52</v>
      </c>
      <c r="C29" s="33">
        <f>(C26-C27)</f>
        <v>30162.5</v>
      </c>
      <c r="D29" s="33">
        <f t="shared" ref="D29:I29" si="21">(D26-D27)</f>
        <v>32162.5</v>
      </c>
      <c r="E29" s="33">
        <f t="shared" si="21"/>
        <v>34162.5</v>
      </c>
      <c r="F29" s="33">
        <f t="shared" si="21"/>
        <v>36162.5</v>
      </c>
      <c r="G29" s="33">
        <f t="shared" si="21"/>
        <v>38162.5</v>
      </c>
      <c r="H29" s="33">
        <f t="shared" si="21"/>
        <v>39162.5</v>
      </c>
      <c r="I29" s="33">
        <f t="shared" si="21"/>
        <v>40162.5</v>
      </c>
    </row>
    <row r="30" spans="1:15">
      <c r="A30" s="132" t="s">
        <v>48</v>
      </c>
      <c r="B30" s="8" t="s">
        <v>15</v>
      </c>
      <c r="C30" s="1">
        <f>C26*1.05</f>
        <v>50045.625</v>
      </c>
      <c r="D30" s="1">
        <f t="shared" ref="D30:I30" si="22">C30</f>
        <v>50045.625</v>
      </c>
      <c r="E30" s="1">
        <f t="shared" si="22"/>
        <v>50045.625</v>
      </c>
      <c r="F30" s="1">
        <f t="shared" si="22"/>
        <v>50045.625</v>
      </c>
      <c r="G30" s="1">
        <f t="shared" si="22"/>
        <v>50045.625</v>
      </c>
      <c r="H30" s="1">
        <f t="shared" si="22"/>
        <v>50045.625</v>
      </c>
      <c r="I30" s="1">
        <f t="shared" si="22"/>
        <v>50045.625</v>
      </c>
    </row>
    <row r="31" spans="1:15">
      <c r="A31" s="133"/>
      <c r="B31" s="8" t="s">
        <v>11</v>
      </c>
      <c r="C31" s="1">
        <f t="shared" ref="C31:I31" si="23">C27</f>
        <v>17500</v>
      </c>
      <c r="D31" s="1">
        <f t="shared" si="23"/>
        <v>15500</v>
      </c>
      <c r="E31" s="1">
        <f t="shared" si="23"/>
        <v>13500</v>
      </c>
      <c r="F31" s="1">
        <f t="shared" si="23"/>
        <v>11500</v>
      </c>
      <c r="G31" s="1">
        <f t="shared" si="23"/>
        <v>9500</v>
      </c>
      <c r="H31" s="1">
        <f t="shared" si="23"/>
        <v>8500</v>
      </c>
      <c r="I31" s="1">
        <f t="shared" si="23"/>
        <v>7500</v>
      </c>
    </row>
    <row r="32" spans="1:15">
      <c r="A32" s="133"/>
      <c r="B32" s="34" t="s">
        <v>51</v>
      </c>
      <c r="C32" s="35">
        <f>((C30-C31)*0.95)*2</f>
        <v>61836.6875</v>
      </c>
      <c r="D32" s="35">
        <f t="shared" ref="D32:I32" si="24">((D30-D31)*0.95)*2</f>
        <v>65636.6875</v>
      </c>
      <c r="E32" s="35">
        <f t="shared" si="24"/>
        <v>69436.6875</v>
      </c>
      <c r="F32" s="35">
        <f t="shared" si="24"/>
        <v>73236.6875</v>
      </c>
      <c r="G32" s="35">
        <f t="shared" si="24"/>
        <v>77036.6875</v>
      </c>
      <c r="H32" s="35">
        <f t="shared" si="24"/>
        <v>78936.6875</v>
      </c>
      <c r="I32" s="35">
        <f t="shared" si="24"/>
        <v>80836.6875</v>
      </c>
    </row>
    <row r="33" spans="1:9">
      <c r="A33" s="133"/>
      <c r="B33" s="23" t="s">
        <v>52</v>
      </c>
      <c r="C33" s="35">
        <f>(C30-C31)</f>
        <v>32545.625</v>
      </c>
      <c r="D33" s="35">
        <f t="shared" ref="D33:I33" si="25">(D30-D31)</f>
        <v>34545.625</v>
      </c>
      <c r="E33" s="35">
        <f t="shared" si="25"/>
        <v>36545.625</v>
      </c>
      <c r="F33" s="35">
        <f t="shared" si="25"/>
        <v>38545.625</v>
      </c>
      <c r="G33" s="35">
        <f t="shared" si="25"/>
        <v>40545.625</v>
      </c>
      <c r="H33" s="35">
        <f t="shared" si="25"/>
        <v>41545.625</v>
      </c>
      <c r="I33" s="35">
        <f t="shared" si="25"/>
        <v>42545.625</v>
      </c>
    </row>
    <row r="34" spans="1:9">
      <c r="A34" s="128" t="s">
        <v>13</v>
      </c>
      <c r="B34" s="128"/>
      <c r="C34" s="35">
        <f t="shared" ref="C34:I34" si="26">SUM(C24,C28,C32)</f>
        <v>174387.9375</v>
      </c>
      <c r="D34" s="35">
        <f t="shared" si="26"/>
        <v>185787.9375</v>
      </c>
      <c r="E34" s="35">
        <f t="shared" si="26"/>
        <v>197187.9375</v>
      </c>
      <c r="F34" s="35">
        <f t="shared" si="26"/>
        <v>208587.9375</v>
      </c>
      <c r="G34" s="35">
        <f t="shared" si="26"/>
        <v>219987.9375</v>
      </c>
      <c r="H34" s="35">
        <f t="shared" si="26"/>
        <v>225687.9375</v>
      </c>
      <c r="I34" s="35">
        <f t="shared" si="26"/>
        <v>231387.9375</v>
      </c>
    </row>
    <row r="35" spans="1:9" ht="16" customHeight="1">
      <c r="A35" s="105" t="s">
        <v>16</v>
      </c>
      <c r="B35" s="105"/>
      <c r="C35" s="105"/>
      <c r="D35" s="105"/>
      <c r="E35" s="105"/>
      <c r="F35" s="105"/>
      <c r="G35" s="105"/>
      <c r="H35" s="105"/>
      <c r="I35" s="105"/>
    </row>
    <row r="36" spans="1:9" ht="4" customHeight="1">
      <c r="A36" s="105"/>
      <c r="B36" s="105"/>
      <c r="C36" s="105"/>
      <c r="D36" s="105"/>
      <c r="E36" s="105"/>
      <c r="F36" s="105"/>
      <c r="G36" s="105"/>
      <c r="H36" s="105"/>
      <c r="I36" s="105"/>
    </row>
    <row r="37" spans="1:9" ht="2.0499999999999998" customHeight="1">
      <c r="A37" s="105"/>
      <c r="B37" s="105"/>
      <c r="C37" s="105"/>
      <c r="D37" s="105"/>
      <c r="E37" s="105"/>
      <c r="F37" s="105"/>
      <c r="G37" s="105"/>
      <c r="H37" s="105"/>
      <c r="I37" s="105"/>
    </row>
    <row r="38" spans="1:9">
      <c r="A38" s="121" t="s">
        <v>17</v>
      </c>
      <c r="B38" s="122"/>
      <c r="C38" s="118" t="s">
        <v>18</v>
      </c>
      <c r="D38" s="118"/>
      <c r="E38" s="2">
        <v>5000</v>
      </c>
      <c r="F38" s="3"/>
      <c r="G38" s="4"/>
    </row>
    <row r="39" spans="1:9">
      <c r="A39" s="123"/>
      <c r="B39" s="124"/>
      <c r="C39" s="119" t="s">
        <v>19</v>
      </c>
      <c r="D39" s="119"/>
      <c r="E39" s="5">
        <v>3000</v>
      </c>
      <c r="F39" s="3"/>
      <c r="G39" s="4"/>
    </row>
    <row r="40" spans="1:9" ht="16.3" thickBot="1">
      <c r="A40" s="123"/>
      <c r="B40" s="124"/>
      <c r="C40" s="120" t="s">
        <v>20</v>
      </c>
      <c r="D40" s="120"/>
      <c r="E40" s="11">
        <v>3000</v>
      </c>
      <c r="F40" s="6"/>
      <c r="G40" s="7"/>
    </row>
    <row r="41" spans="1:9">
      <c r="A41" s="127" t="s">
        <v>82</v>
      </c>
      <c r="B41" s="127"/>
      <c r="C41" s="128" t="s">
        <v>30</v>
      </c>
      <c r="D41" s="128"/>
      <c r="E41" s="8">
        <v>18500</v>
      </c>
      <c r="F41" s="115"/>
      <c r="G41" s="115"/>
      <c r="H41" s="115"/>
      <c r="I41" s="129"/>
    </row>
    <row r="42" spans="1:9">
      <c r="A42" s="127"/>
      <c r="B42" s="127"/>
      <c r="C42" s="128" t="s">
        <v>31</v>
      </c>
      <c r="D42" s="128"/>
      <c r="E42" s="8">
        <v>9750</v>
      </c>
      <c r="F42" s="117"/>
      <c r="G42" s="117"/>
      <c r="H42" s="117"/>
      <c r="I42" s="130"/>
    </row>
    <row r="43" spans="1:9" ht="23.15">
      <c r="A43" s="12" t="s">
        <v>21</v>
      </c>
      <c r="B43" s="12" t="s">
        <v>22</v>
      </c>
      <c r="C43" s="13" t="s">
        <v>23</v>
      </c>
      <c r="D43" s="13" t="s">
        <v>24</v>
      </c>
      <c r="E43" s="13" t="s">
        <v>25</v>
      </c>
      <c r="F43" s="13" t="s">
        <v>26</v>
      </c>
      <c r="G43" s="12" t="s">
        <v>27</v>
      </c>
      <c r="H43" s="12" t="s">
        <v>28</v>
      </c>
      <c r="I43" s="12" t="s">
        <v>29</v>
      </c>
    </row>
    <row r="44" spans="1:9">
      <c r="A44" s="9" t="s">
        <v>30</v>
      </c>
      <c r="B44" s="5">
        <f>B45*2</f>
        <v>7000</v>
      </c>
      <c r="C44" s="5">
        <f t="shared" ref="C44:H44" si="27">C45*2</f>
        <v>5000</v>
      </c>
      <c r="D44" s="5">
        <f>1000</f>
        <v>1000</v>
      </c>
      <c r="E44" s="5">
        <f t="shared" si="27"/>
        <v>1500</v>
      </c>
      <c r="F44" s="5">
        <f t="shared" si="27"/>
        <v>1000</v>
      </c>
      <c r="G44" s="5">
        <f t="shared" si="27"/>
        <v>1000</v>
      </c>
      <c r="H44" s="5">
        <f t="shared" si="27"/>
        <v>2000</v>
      </c>
      <c r="I44" s="5">
        <f>SUM(B44:H44)</f>
        <v>18500</v>
      </c>
    </row>
    <row r="45" spans="1:9">
      <c r="A45" s="9" t="s">
        <v>31</v>
      </c>
      <c r="B45" s="5">
        <v>3500</v>
      </c>
      <c r="C45" s="5">
        <v>2500</v>
      </c>
      <c r="D45" s="14">
        <v>1000</v>
      </c>
      <c r="E45" s="14">
        <v>750</v>
      </c>
      <c r="F45" s="14">
        <v>500</v>
      </c>
      <c r="G45" s="5">
        <v>500</v>
      </c>
      <c r="H45" s="5">
        <v>1000</v>
      </c>
      <c r="I45" s="5">
        <f>SUM(B45:H45)</f>
        <v>9750</v>
      </c>
    </row>
    <row r="46" spans="1:9" ht="16" customHeight="1">
      <c r="A46" s="104" t="s">
        <v>54</v>
      </c>
      <c r="B46" s="104"/>
      <c r="C46" s="104"/>
      <c r="D46" s="104"/>
      <c r="E46" s="104"/>
      <c r="F46" s="104"/>
      <c r="G46" s="104"/>
      <c r="H46" s="104"/>
      <c r="I46" s="104"/>
    </row>
    <row r="47" spans="1:9" ht="30.55" customHeight="1">
      <c r="A47" s="104" t="s">
        <v>55</v>
      </c>
      <c r="B47" s="104"/>
      <c r="C47" s="104"/>
      <c r="D47" s="104"/>
      <c r="E47" s="104"/>
      <c r="F47" s="104"/>
      <c r="G47" s="104"/>
      <c r="H47" s="104"/>
      <c r="I47" s="104"/>
    </row>
    <row r="48" spans="1:9" ht="38.049999999999997" customHeight="1">
      <c r="A48" s="152" t="s">
        <v>56</v>
      </c>
      <c r="B48" s="152"/>
      <c r="C48" s="152"/>
      <c r="D48" s="152"/>
      <c r="E48" s="152"/>
      <c r="F48" s="152"/>
      <c r="G48" s="152"/>
      <c r="H48" s="152"/>
      <c r="I48" s="152"/>
    </row>
    <row r="49" spans="1:9" ht="14.5" customHeight="1">
      <c r="A49" s="104" t="s">
        <v>32</v>
      </c>
      <c r="B49" s="104"/>
      <c r="C49" s="104"/>
      <c r="D49" s="104"/>
      <c r="E49" s="104"/>
      <c r="F49" s="104"/>
      <c r="G49" s="104"/>
      <c r="H49" s="104"/>
      <c r="I49" s="104"/>
    </row>
    <row r="50" spans="1:9">
      <c r="A50" s="149" t="s">
        <v>86</v>
      </c>
      <c r="B50" s="150"/>
      <c r="C50" s="150"/>
      <c r="D50" s="150"/>
      <c r="E50" s="150"/>
      <c r="F50" s="150"/>
      <c r="G50" s="150"/>
      <c r="H50" s="150"/>
      <c r="I50" s="151"/>
    </row>
    <row r="51" spans="1:9">
      <c r="A51" s="153" t="s">
        <v>80</v>
      </c>
      <c r="B51" s="153"/>
      <c r="C51" s="153"/>
      <c r="D51" s="153"/>
      <c r="E51" s="153"/>
      <c r="F51" s="153"/>
      <c r="G51" s="153"/>
      <c r="H51" s="153"/>
      <c r="I51" s="153"/>
    </row>
    <row r="52" spans="1:9">
      <c r="A52" s="104" t="s">
        <v>9</v>
      </c>
      <c r="B52" s="104"/>
      <c r="C52" s="104"/>
      <c r="D52" s="104"/>
      <c r="E52" s="104"/>
      <c r="F52" s="104"/>
      <c r="G52" s="104"/>
      <c r="H52" s="104"/>
      <c r="I52" s="104"/>
    </row>
  </sheetData>
  <mergeCells count="28">
    <mergeCell ref="A20:B20"/>
    <mergeCell ref="A1:I1"/>
    <mergeCell ref="A2:I2"/>
    <mergeCell ref="A5:A9"/>
    <mergeCell ref="A10:A14"/>
    <mergeCell ref="A15:A19"/>
    <mergeCell ref="C42:D42"/>
    <mergeCell ref="A21:I21"/>
    <mergeCell ref="A22:A25"/>
    <mergeCell ref="A26:A29"/>
    <mergeCell ref="A30:A33"/>
    <mergeCell ref="A34:B34"/>
    <mergeCell ref="A52:I52"/>
    <mergeCell ref="A4:I4"/>
    <mergeCell ref="A46:I46"/>
    <mergeCell ref="A47:I47"/>
    <mergeCell ref="A48:I48"/>
    <mergeCell ref="A49:I49"/>
    <mergeCell ref="A50:I50"/>
    <mergeCell ref="A51:I51"/>
    <mergeCell ref="A35:I37"/>
    <mergeCell ref="A38:B40"/>
    <mergeCell ref="C38:D38"/>
    <mergeCell ref="C39:D39"/>
    <mergeCell ref="C40:D40"/>
    <mergeCell ref="A41:B42"/>
    <mergeCell ref="C41:D41"/>
    <mergeCell ref="F41:I42"/>
  </mergeCells>
  <pageMargins left="0.7" right="0.7" top="0.75" bottom="0.75" header="0.3" footer="0.3"/>
  <pageSetup paperSize="9" scale="4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E739-D6E1-2A4E-B009-872CCF614E4E}">
  <sheetPr>
    <pageSetUpPr fitToPage="1"/>
  </sheetPr>
  <dimension ref="A1:M44"/>
  <sheetViews>
    <sheetView zoomScale="85" workbookViewId="0">
      <selection activeCell="A2" sqref="A2:I2"/>
    </sheetView>
  </sheetViews>
  <sheetFormatPr defaultColWidth="8.85546875" defaultRowHeight="15.9"/>
  <cols>
    <col min="1" max="1" width="17.35546875" customWidth="1"/>
    <col min="2" max="2" width="23" bestFit="1" customWidth="1"/>
    <col min="3" max="3" width="34.640625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10" width="16.640625" customWidth="1"/>
  </cols>
  <sheetData>
    <row r="1" spans="1:13">
      <c r="A1" s="134" t="s">
        <v>105</v>
      </c>
      <c r="B1" s="134"/>
      <c r="C1" s="134"/>
      <c r="D1" s="134"/>
      <c r="E1" s="134"/>
      <c r="F1" s="134"/>
      <c r="G1" s="134"/>
      <c r="H1" s="134"/>
      <c r="I1" s="134"/>
    </row>
    <row r="2" spans="1:13" ht="35.15" customHeight="1">
      <c r="A2" s="134" t="s">
        <v>104</v>
      </c>
      <c r="B2" s="134"/>
      <c r="C2" s="134"/>
      <c r="D2" s="134"/>
      <c r="E2" s="134"/>
      <c r="F2" s="134"/>
      <c r="G2" s="134"/>
      <c r="H2" s="134"/>
      <c r="I2" s="134"/>
    </row>
    <row r="3" spans="1:13" ht="85.3" customHeight="1">
      <c r="A3" s="15" t="s">
        <v>1</v>
      </c>
      <c r="B3" s="16" t="s">
        <v>2</v>
      </c>
      <c r="C3" s="15" t="s">
        <v>57</v>
      </c>
      <c r="D3" s="15" t="s">
        <v>58</v>
      </c>
      <c r="E3" s="15" t="s">
        <v>59</v>
      </c>
      <c r="F3" s="15" t="s">
        <v>72</v>
      </c>
      <c r="G3" s="15" t="s">
        <v>60</v>
      </c>
    </row>
    <row r="4" spans="1:13" ht="85.3" customHeight="1">
      <c r="A4" s="106" t="s">
        <v>0</v>
      </c>
      <c r="B4" s="107"/>
      <c r="C4" s="107"/>
      <c r="D4" s="107"/>
      <c r="E4" s="107"/>
      <c r="F4" s="107"/>
      <c r="G4" s="108"/>
    </row>
    <row r="5" spans="1:13">
      <c r="A5" s="132" t="s">
        <v>46</v>
      </c>
      <c r="B5" s="8" t="s">
        <v>10</v>
      </c>
      <c r="C5" s="1">
        <v>77100</v>
      </c>
      <c r="D5" s="1">
        <f>C5</f>
        <v>77100</v>
      </c>
      <c r="E5" s="1">
        <f t="shared" ref="E5:G5" si="0">D5</f>
        <v>77100</v>
      </c>
      <c r="F5" s="1">
        <f t="shared" si="0"/>
        <v>77100</v>
      </c>
      <c r="G5" s="1">
        <f t="shared" si="0"/>
        <v>77100</v>
      </c>
      <c r="H5" s="10"/>
      <c r="I5" s="10"/>
      <c r="J5" s="10"/>
      <c r="K5" s="10"/>
      <c r="L5" s="10"/>
    </row>
    <row r="6" spans="1:13">
      <c r="A6" s="133"/>
      <c r="B6" s="8" t="s">
        <v>11</v>
      </c>
      <c r="C6" s="1">
        <v>12000</v>
      </c>
      <c r="D6" s="1">
        <v>8000</v>
      </c>
      <c r="E6" s="1">
        <v>6000</v>
      </c>
      <c r="F6" s="1">
        <v>4000</v>
      </c>
      <c r="G6" s="1">
        <v>0</v>
      </c>
    </row>
    <row r="7" spans="1:13">
      <c r="A7" s="133"/>
      <c r="B7" s="32" t="s">
        <v>53</v>
      </c>
      <c r="C7" s="33">
        <v>10500</v>
      </c>
      <c r="D7" s="33">
        <f>C7</f>
        <v>10500</v>
      </c>
      <c r="E7" s="33">
        <f t="shared" ref="E7:G7" si="1">D7</f>
        <v>10500</v>
      </c>
      <c r="F7" s="33">
        <v>7500</v>
      </c>
      <c r="G7" s="33">
        <f t="shared" si="1"/>
        <v>7500</v>
      </c>
    </row>
    <row r="8" spans="1:13">
      <c r="A8" s="133"/>
      <c r="B8" s="22" t="s">
        <v>51</v>
      </c>
      <c r="C8" s="33">
        <f>(((C5-C6)*0.95)*2)-C7*2</f>
        <v>102690</v>
      </c>
      <c r="D8" s="33">
        <f t="shared" ref="D8:G8" si="2">(((D5-D6)*0.95)*2)-D7*2</f>
        <v>110290</v>
      </c>
      <c r="E8" s="33">
        <f t="shared" si="2"/>
        <v>114090</v>
      </c>
      <c r="F8" s="33">
        <f t="shared" si="2"/>
        <v>123890</v>
      </c>
      <c r="G8" s="33">
        <f t="shared" si="2"/>
        <v>131490</v>
      </c>
    </row>
    <row r="9" spans="1:13">
      <c r="A9" s="133"/>
      <c r="B9" s="22" t="s">
        <v>52</v>
      </c>
      <c r="C9" s="33">
        <f>(C5-C6)-C7</f>
        <v>54600</v>
      </c>
      <c r="D9" s="33">
        <f t="shared" ref="D9:G9" si="3">(D5-D6)-D7</f>
        <v>58600</v>
      </c>
      <c r="E9" s="33">
        <f t="shared" si="3"/>
        <v>60600</v>
      </c>
      <c r="F9" s="33">
        <f t="shared" si="3"/>
        <v>65600</v>
      </c>
      <c r="G9" s="33">
        <f t="shared" si="3"/>
        <v>69600</v>
      </c>
      <c r="H9" s="10"/>
      <c r="I9" s="10"/>
      <c r="J9" s="10"/>
      <c r="K9" s="10"/>
      <c r="L9" s="10"/>
      <c r="M9" s="10"/>
    </row>
    <row r="10" spans="1:13" ht="16" customHeight="1">
      <c r="A10" s="132" t="s">
        <v>47</v>
      </c>
      <c r="B10" s="8" t="s">
        <v>12</v>
      </c>
      <c r="C10" s="1">
        <v>79300</v>
      </c>
      <c r="D10" s="1">
        <f t="shared" ref="D10:G10" si="4">C10</f>
        <v>79300</v>
      </c>
      <c r="E10" s="1">
        <f t="shared" si="4"/>
        <v>79300</v>
      </c>
      <c r="F10" s="1">
        <f t="shared" si="4"/>
        <v>79300</v>
      </c>
      <c r="G10" s="1">
        <f t="shared" si="4"/>
        <v>79300</v>
      </c>
    </row>
    <row r="11" spans="1:13">
      <c r="A11" s="133"/>
      <c r="B11" s="8" t="s">
        <v>11</v>
      </c>
      <c r="C11" s="1">
        <f>C6</f>
        <v>12000</v>
      </c>
      <c r="D11" s="1">
        <f>D6</f>
        <v>8000</v>
      </c>
      <c r="E11" s="1">
        <f>E6</f>
        <v>6000</v>
      </c>
      <c r="F11" s="1">
        <f>F6</f>
        <v>4000</v>
      </c>
      <c r="G11" s="1">
        <f>G6</f>
        <v>0</v>
      </c>
      <c r="H11" s="10"/>
    </row>
    <row r="12" spans="1:13">
      <c r="A12" s="133"/>
      <c r="B12" s="34" t="s">
        <v>53</v>
      </c>
      <c r="C12" s="35">
        <f>C7</f>
        <v>10500</v>
      </c>
      <c r="D12" s="35">
        <f>C12</f>
        <v>10500</v>
      </c>
      <c r="E12" s="35">
        <f t="shared" ref="E12:G12" si="5">D12</f>
        <v>10500</v>
      </c>
      <c r="F12" s="35">
        <f>F7</f>
        <v>7500</v>
      </c>
      <c r="G12" s="35">
        <f t="shared" si="5"/>
        <v>7500</v>
      </c>
      <c r="H12" s="10"/>
    </row>
    <row r="13" spans="1:13">
      <c r="A13" s="133"/>
      <c r="B13" s="23" t="s">
        <v>51</v>
      </c>
      <c r="C13" s="35">
        <f>(((C10-C11)*0.95)*2)-C12*2</f>
        <v>106870</v>
      </c>
      <c r="D13" s="35">
        <f t="shared" ref="D13:G13" si="6">(((D10-D11)*0.95)*2)-D12*2</f>
        <v>114470</v>
      </c>
      <c r="E13" s="35">
        <f t="shared" si="6"/>
        <v>118270</v>
      </c>
      <c r="F13" s="35">
        <f t="shared" si="6"/>
        <v>128070</v>
      </c>
      <c r="G13" s="35">
        <f t="shared" si="6"/>
        <v>135670</v>
      </c>
    </row>
    <row r="14" spans="1:13">
      <c r="A14" s="133"/>
      <c r="B14" s="23" t="s">
        <v>52</v>
      </c>
      <c r="C14" s="35">
        <f>(C10-C11)-C12</f>
        <v>56800</v>
      </c>
      <c r="D14" s="35">
        <f t="shared" ref="D14:G14" si="7">(D10-D11)-D12</f>
        <v>60800</v>
      </c>
      <c r="E14" s="35">
        <f t="shared" si="7"/>
        <v>62800</v>
      </c>
      <c r="F14" s="35">
        <f t="shared" si="7"/>
        <v>67800</v>
      </c>
      <c r="G14" s="35">
        <f t="shared" si="7"/>
        <v>71800</v>
      </c>
    </row>
    <row r="15" spans="1:13">
      <c r="A15" s="128" t="s">
        <v>13</v>
      </c>
      <c r="B15" s="128"/>
      <c r="C15" s="36">
        <f>SUM(C8,C13)</f>
        <v>209560</v>
      </c>
      <c r="D15" s="36">
        <f>SUM(D8,D13)</f>
        <v>224760</v>
      </c>
      <c r="E15" s="36">
        <f>SUM(E8,E13)</f>
        <v>232360</v>
      </c>
      <c r="F15" s="36">
        <f>SUM(F8,F13)</f>
        <v>251960</v>
      </c>
      <c r="G15" s="36">
        <f>SUM(G8,G13)</f>
        <v>267160</v>
      </c>
    </row>
    <row r="16" spans="1:13">
      <c r="A16" s="140" t="s">
        <v>14</v>
      </c>
      <c r="B16" s="141"/>
      <c r="C16" s="141"/>
      <c r="D16" s="141"/>
      <c r="E16" s="141"/>
      <c r="F16" s="141"/>
      <c r="G16" s="141"/>
      <c r="H16" s="154"/>
    </row>
    <row r="17" spans="1:13" ht="26.05" customHeight="1">
      <c r="A17" s="132" t="s">
        <v>46</v>
      </c>
      <c r="B17" s="24" t="s">
        <v>15</v>
      </c>
      <c r="C17" s="1">
        <f>C5*0.75</f>
        <v>57825</v>
      </c>
      <c r="D17" s="1">
        <f t="shared" ref="D17:G17" si="8">C17</f>
        <v>57825</v>
      </c>
      <c r="E17" s="1">
        <f t="shared" si="8"/>
        <v>57825</v>
      </c>
      <c r="F17" s="1">
        <f t="shared" si="8"/>
        <v>57825</v>
      </c>
      <c r="G17" s="1">
        <f t="shared" si="8"/>
        <v>57825</v>
      </c>
    </row>
    <row r="18" spans="1:13">
      <c r="A18" s="133"/>
      <c r="B18" s="8" t="s">
        <v>11</v>
      </c>
      <c r="C18" s="26">
        <v>12000</v>
      </c>
      <c r="D18" s="26">
        <v>8000</v>
      </c>
      <c r="E18" s="26">
        <v>6000</v>
      </c>
      <c r="F18" s="26">
        <v>4000</v>
      </c>
      <c r="G18" s="26">
        <v>0</v>
      </c>
      <c r="H18" s="10"/>
    </row>
    <row r="19" spans="1:13">
      <c r="A19" s="133"/>
      <c r="B19" s="25" t="s">
        <v>51</v>
      </c>
      <c r="C19" s="38">
        <f>((C17-C18)*0.95)*2</f>
        <v>87067.5</v>
      </c>
      <c r="D19" s="38">
        <f t="shared" ref="D19:G19" si="9">((D17-D18)*0.95)*2</f>
        <v>94667.5</v>
      </c>
      <c r="E19" s="38">
        <f t="shared" si="9"/>
        <v>98467.5</v>
      </c>
      <c r="F19" s="38">
        <f t="shared" si="9"/>
        <v>102267.5</v>
      </c>
      <c r="G19" s="38">
        <f t="shared" si="9"/>
        <v>109867.5</v>
      </c>
      <c r="I19" s="10"/>
      <c r="J19" s="10"/>
      <c r="K19" s="10"/>
      <c r="L19" s="10"/>
      <c r="M19" s="10"/>
    </row>
    <row r="20" spans="1:13">
      <c r="A20" s="133"/>
      <c r="B20" s="25" t="s">
        <v>52</v>
      </c>
      <c r="C20" s="38">
        <f>(C17-C18)</f>
        <v>45825</v>
      </c>
      <c r="D20" s="38">
        <f t="shared" ref="D20:G20" si="10">(D17-D18)</f>
        <v>49825</v>
      </c>
      <c r="E20" s="38">
        <f t="shared" si="10"/>
        <v>51825</v>
      </c>
      <c r="F20" s="38">
        <f t="shared" si="10"/>
        <v>53825</v>
      </c>
      <c r="G20" s="38">
        <f t="shared" si="10"/>
        <v>57825</v>
      </c>
      <c r="H20" s="10"/>
      <c r="I20" s="10"/>
      <c r="J20" s="10"/>
      <c r="K20" s="10"/>
      <c r="L20" s="10"/>
      <c r="M20" s="10"/>
    </row>
    <row r="21" spans="1:13" ht="34.75">
      <c r="A21" s="132" t="s">
        <v>47</v>
      </c>
      <c r="B21" s="24" t="s">
        <v>15</v>
      </c>
      <c r="C21" s="1">
        <f>C10*0.75</f>
        <v>59475</v>
      </c>
      <c r="D21" s="1">
        <f t="shared" ref="D21:G21" si="11">C21</f>
        <v>59475</v>
      </c>
      <c r="E21" s="1">
        <f t="shared" si="11"/>
        <v>59475</v>
      </c>
      <c r="F21" s="1">
        <f t="shared" si="11"/>
        <v>59475</v>
      </c>
      <c r="G21" s="1">
        <f t="shared" si="11"/>
        <v>59475</v>
      </c>
    </row>
    <row r="22" spans="1:13">
      <c r="A22" s="133"/>
      <c r="B22" s="8" t="s">
        <v>11</v>
      </c>
      <c r="C22" s="1">
        <f>C18</f>
        <v>12000</v>
      </c>
      <c r="D22" s="1">
        <f>D18</f>
        <v>8000</v>
      </c>
      <c r="E22" s="1">
        <f>E18</f>
        <v>6000</v>
      </c>
      <c r="F22" s="1">
        <f>F18</f>
        <v>4000</v>
      </c>
      <c r="G22" s="1">
        <f>G18</f>
        <v>0</v>
      </c>
    </row>
    <row r="23" spans="1:13">
      <c r="A23" s="133"/>
      <c r="B23" s="25" t="s">
        <v>51</v>
      </c>
      <c r="C23" s="38">
        <f>((C21-C22)*0.95)*2</f>
        <v>90202.5</v>
      </c>
      <c r="D23" s="38">
        <f t="shared" ref="D23:G23" si="12">((D21-D22)*0.95)*2</f>
        <v>97802.5</v>
      </c>
      <c r="E23" s="38">
        <f t="shared" si="12"/>
        <v>101602.5</v>
      </c>
      <c r="F23" s="38">
        <f t="shared" si="12"/>
        <v>105402.5</v>
      </c>
      <c r="G23" s="38">
        <f t="shared" si="12"/>
        <v>113002.5</v>
      </c>
    </row>
    <row r="24" spans="1:13">
      <c r="A24" s="133"/>
      <c r="B24" s="25" t="s">
        <v>52</v>
      </c>
      <c r="C24" s="38">
        <f>(C21-C22)</f>
        <v>47475</v>
      </c>
      <c r="D24" s="38">
        <f t="shared" ref="D24:G24" si="13">(D21-D22)</f>
        <v>51475</v>
      </c>
      <c r="E24" s="38">
        <f t="shared" si="13"/>
        <v>53475</v>
      </c>
      <c r="F24" s="38">
        <f t="shared" si="13"/>
        <v>55475</v>
      </c>
      <c r="G24" s="38">
        <f t="shared" si="13"/>
        <v>59475</v>
      </c>
    </row>
    <row r="25" spans="1:13" ht="16" customHeight="1">
      <c r="A25" s="128" t="s">
        <v>13</v>
      </c>
      <c r="B25" s="128"/>
      <c r="C25" s="36">
        <f>SUM(C19,C23)</f>
        <v>177270</v>
      </c>
      <c r="D25" s="36">
        <f>SUM(D19,D23)</f>
        <v>192470</v>
      </c>
      <c r="E25" s="36">
        <f>SUM(E19,E23)</f>
        <v>200070</v>
      </c>
      <c r="F25" s="36">
        <f>SUM(F19,F23)</f>
        <v>207670</v>
      </c>
      <c r="G25" s="36">
        <f>SUM(G19,G23)</f>
        <v>222870</v>
      </c>
    </row>
    <row r="26" spans="1:13" ht="16" customHeight="1">
      <c r="A26" s="105" t="s">
        <v>16</v>
      </c>
      <c r="B26" s="105"/>
      <c r="C26" s="105"/>
      <c r="D26" s="105"/>
      <c r="E26" s="105"/>
      <c r="F26" s="105"/>
      <c r="G26" s="105"/>
      <c r="H26" s="105"/>
      <c r="I26" s="105"/>
    </row>
    <row r="27" spans="1:13" ht="16" customHeight="1">
      <c r="A27" s="105"/>
      <c r="B27" s="105"/>
      <c r="C27" s="105"/>
      <c r="D27" s="105"/>
      <c r="E27" s="105"/>
      <c r="F27" s="105"/>
      <c r="G27" s="105"/>
      <c r="H27" s="105"/>
      <c r="I27" s="105"/>
    </row>
    <row r="28" spans="1:13" ht="16" customHeight="1">
      <c r="A28" s="105"/>
      <c r="B28" s="105"/>
      <c r="C28" s="105"/>
      <c r="D28" s="105"/>
      <c r="E28" s="105"/>
      <c r="F28" s="105"/>
      <c r="G28" s="105"/>
      <c r="H28" s="105"/>
      <c r="I28" s="105"/>
    </row>
    <row r="29" spans="1:13" ht="16" customHeight="1">
      <c r="A29" s="121" t="s">
        <v>17</v>
      </c>
      <c r="B29" s="122"/>
      <c r="C29" s="118" t="s">
        <v>18</v>
      </c>
      <c r="D29" s="118"/>
      <c r="E29" s="27">
        <v>5000</v>
      </c>
      <c r="F29" s="115"/>
      <c r="G29" s="115"/>
      <c r="H29" s="115"/>
      <c r="I29" s="115"/>
    </row>
    <row r="30" spans="1:13" ht="17.05" customHeight="1">
      <c r="A30" s="123"/>
      <c r="B30" s="124"/>
      <c r="C30" s="119" t="s">
        <v>19</v>
      </c>
      <c r="D30" s="119"/>
      <c r="E30" s="27">
        <v>3000</v>
      </c>
      <c r="F30" s="115"/>
      <c r="G30" s="115"/>
      <c r="H30" s="115"/>
      <c r="I30" s="115"/>
    </row>
    <row r="31" spans="1:13" ht="16.3" thickBot="1">
      <c r="A31" s="125"/>
      <c r="B31" s="126"/>
      <c r="C31" s="120" t="s">
        <v>20</v>
      </c>
      <c r="D31" s="120"/>
      <c r="E31" s="28">
        <v>3000</v>
      </c>
      <c r="F31" s="115"/>
      <c r="G31" s="115"/>
      <c r="H31" s="115"/>
      <c r="I31" s="115"/>
    </row>
    <row r="32" spans="1:13">
      <c r="A32" s="127" t="s">
        <v>82</v>
      </c>
      <c r="B32" s="127"/>
      <c r="C32" s="128" t="s">
        <v>30</v>
      </c>
      <c r="D32" s="128"/>
      <c r="E32" s="5">
        <v>18500</v>
      </c>
      <c r="F32" s="115"/>
      <c r="G32" s="115"/>
      <c r="H32" s="115"/>
      <c r="I32" s="129"/>
    </row>
    <row r="33" spans="1:9">
      <c r="A33" s="127"/>
      <c r="B33" s="127"/>
      <c r="C33" s="128" t="s">
        <v>31</v>
      </c>
      <c r="D33" s="128"/>
      <c r="E33" s="5">
        <v>9750</v>
      </c>
      <c r="F33" s="117"/>
      <c r="G33" s="117"/>
      <c r="H33" s="117"/>
      <c r="I33" s="130"/>
    </row>
    <row r="34" spans="1:9" ht="46" customHeight="1">
      <c r="A34" s="12" t="s">
        <v>21</v>
      </c>
      <c r="B34" s="12" t="s">
        <v>22</v>
      </c>
      <c r="C34" s="13" t="s">
        <v>23</v>
      </c>
      <c r="D34" s="13" t="s">
        <v>24</v>
      </c>
      <c r="E34" s="13" t="s">
        <v>25</v>
      </c>
      <c r="F34" s="13" t="s">
        <v>26</v>
      </c>
      <c r="G34" s="12" t="s">
        <v>27</v>
      </c>
      <c r="H34" s="12" t="s">
        <v>28</v>
      </c>
      <c r="I34" s="12" t="s">
        <v>29</v>
      </c>
    </row>
    <row r="35" spans="1:9" ht="16" customHeight="1">
      <c r="A35" s="9" t="s">
        <v>30</v>
      </c>
      <c r="B35" s="5">
        <f>B36*2</f>
        <v>9000</v>
      </c>
      <c r="C35" s="5">
        <f t="shared" ref="C35:G35" si="14">C36*2</f>
        <v>5000</v>
      </c>
      <c r="D35" s="5">
        <f>D36</f>
        <v>1000</v>
      </c>
      <c r="E35" s="5">
        <f t="shared" si="14"/>
        <v>1500</v>
      </c>
      <c r="F35" s="5">
        <f t="shared" si="14"/>
        <v>1000</v>
      </c>
      <c r="G35" s="5">
        <f t="shared" si="14"/>
        <v>1000</v>
      </c>
      <c r="H35" s="5">
        <v>2400</v>
      </c>
      <c r="I35" s="5">
        <f>SUM(B35:H35)</f>
        <v>20900</v>
      </c>
    </row>
    <row r="36" spans="1:9" ht="33" customHeight="1">
      <c r="A36" s="9" t="s">
        <v>31</v>
      </c>
      <c r="B36" s="5">
        <v>4500</v>
      </c>
      <c r="C36" s="5">
        <v>2500</v>
      </c>
      <c r="D36" s="14">
        <v>1000</v>
      </c>
      <c r="E36" s="14">
        <v>750</v>
      </c>
      <c r="F36" s="14">
        <v>500</v>
      </c>
      <c r="G36" s="5">
        <v>500</v>
      </c>
      <c r="H36" s="5">
        <v>1200</v>
      </c>
      <c r="I36" s="5">
        <f>SUM(B36:H36)</f>
        <v>10950</v>
      </c>
    </row>
    <row r="37" spans="1:9" ht="29.05" customHeight="1">
      <c r="A37" s="104" t="s">
        <v>54</v>
      </c>
      <c r="B37" s="104"/>
      <c r="C37" s="104"/>
      <c r="D37" s="104"/>
      <c r="E37" s="104"/>
      <c r="F37" s="104"/>
      <c r="G37" s="104"/>
      <c r="H37" s="104"/>
      <c r="I37" s="104"/>
    </row>
    <row r="38" spans="1:9" ht="19" customHeight="1">
      <c r="A38" s="104" t="s">
        <v>55</v>
      </c>
      <c r="B38" s="104"/>
      <c r="C38" s="104"/>
      <c r="D38" s="104"/>
      <c r="E38" s="104"/>
      <c r="F38" s="104"/>
      <c r="G38" s="104"/>
      <c r="H38" s="104"/>
      <c r="I38" s="104"/>
    </row>
    <row r="39" spans="1:9" ht="34" customHeight="1">
      <c r="A39" s="152" t="s">
        <v>56</v>
      </c>
      <c r="B39" s="152"/>
      <c r="C39" s="152"/>
      <c r="D39" s="152"/>
      <c r="E39" s="152"/>
      <c r="F39" s="152"/>
      <c r="G39" s="152"/>
      <c r="H39" s="152"/>
      <c r="I39" s="152"/>
    </row>
    <row r="40" spans="1:9" ht="28" customHeight="1">
      <c r="A40" s="104" t="s">
        <v>32</v>
      </c>
      <c r="B40" s="104"/>
      <c r="C40" s="104"/>
      <c r="D40" s="104"/>
      <c r="E40" s="104"/>
      <c r="F40" s="104"/>
      <c r="G40" s="104"/>
      <c r="H40" s="104"/>
      <c r="I40" s="104"/>
    </row>
    <row r="41" spans="1:9" ht="13.5" customHeight="1">
      <c r="A41" s="149" t="s">
        <v>81</v>
      </c>
      <c r="B41" s="150"/>
      <c r="C41" s="150"/>
      <c r="D41" s="150"/>
      <c r="E41" s="150"/>
      <c r="F41" s="150"/>
      <c r="G41" s="150"/>
      <c r="H41" s="150"/>
      <c r="I41" s="151"/>
    </row>
    <row r="42" spans="1:9">
      <c r="A42" s="104" t="s">
        <v>9</v>
      </c>
      <c r="B42" s="104"/>
      <c r="C42" s="104"/>
      <c r="D42" s="104"/>
      <c r="E42" s="104"/>
      <c r="F42" s="104"/>
      <c r="G42" s="104"/>
      <c r="H42" s="104"/>
      <c r="I42" s="104"/>
    </row>
    <row r="43" spans="1:9" ht="28.75" customHeight="1"/>
    <row r="44" spans="1:9" ht="39" customHeight="1"/>
  </sheetData>
  <mergeCells count="26">
    <mergeCell ref="A26:I28"/>
    <mergeCell ref="C29:D29"/>
    <mergeCell ref="F29:I31"/>
    <mergeCell ref="C30:D30"/>
    <mergeCell ref="C31:D31"/>
    <mergeCell ref="A29:B31"/>
    <mergeCell ref="A17:A20"/>
    <mergeCell ref="A21:A24"/>
    <mergeCell ref="A25:B25"/>
    <mergeCell ref="A4:G4"/>
    <mergeCell ref="A16:H16"/>
    <mergeCell ref="A1:I1"/>
    <mergeCell ref="A2:I2"/>
    <mergeCell ref="A5:A9"/>
    <mergeCell ref="A10:A14"/>
    <mergeCell ref="A15:B15"/>
    <mergeCell ref="A42:I42"/>
    <mergeCell ref="A32:B33"/>
    <mergeCell ref="C32:D32"/>
    <mergeCell ref="F32:I33"/>
    <mergeCell ref="C33:D33"/>
    <mergeCell ref="A41:I41"/>
    <mergeCell ref="A37:I37"/>
    <mergeCell ref="A38:I38"/>
    <mergeCell ref="A39:I39"/>
    <mergeCell ref="A40:I40"/>
  </mergeCells>
  <pageMargins left="0.7" right="0.7" top="0.75" bottom="0.75" header="0.3" footer="0.3"/>
  <pageSetup paperSize="9" scale="4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1BF23-F021-2D41-B318-73E7F5B7012A}">
  <sheetPr>
    <pageSetUpPr fitToPage="1"/>
  </sheetPr>
  <dimension ref="A1:W59"/>
  <sheetViews>
    <sheetView zoomScale="63" zoomScaleNormal="80" workbookViewId="0">
      <selection activeCell="A2" sqref="A2:I2"/>
    </sheetView>
  </sheetViews>
  <sheetFormatPr defaultColWidth="8.85546875" defaultRowHeight="15.9"/>
  <cols>
    <col min="1" max="1" width="17.35546875" customWidth="1"/>
    <col min="2" max="2" width="23" bestFit="1" customWidth="1"/>
    <col min="3" max="3" width="34.640625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10" width="16.640625" customWidth="1"/>
  </cols>
  <sheetData>
    <row r="1" spans="1:23">
      <c r="A1" s="131" t="s">
        <v>106</v>
      </c>
      <c r="B1" s="131"/>
      <c r="C1" s="131"/>
      <c r="D1" s="131"/>
      <c r="E1" s="131"/>
      <c r="F1" s="131"/>
      <c r="G1" s="131"/>
      <c r="H1" s="131"/>
      <c r="I1" s="131"/>
    </row>
    <row r="2" spans="1:23" ht="98.6" customHeight="1">
      <c r="A2" s="134" t="s">
        <v>107</v>
      </c>
      <c r="B2" s="134"/>
      <c r="C2" s="134"/>
      <c r="D2" s="134"/>
      <c r="E2" s="134"/>
      <c r="F2" s="134"/>
      <c r="G2" s="134"/>
      <c r="H2" s="134"/>
      <c r="I2" s="134"/>
    </row>
    <row r="3" spans="1:23" ht="85.3" customHeight="1">
      <c r="A3" s="15" t="s">
        <v>1</v>
      </c>
      <c r="B3" s="16" t="s">
        <v>2</v>
      </c>
      <c r="C3" s="15" t="s">
        <v>37</v>
      </c>
      <c r="D3" s="15" t="s">
        <v>38</v>
      </c>
      <c r="E3" s="15" t="s">
        <v>39</v>
      </c>
      <c r="F3" s="15" t="s">
        <v>40</v>
      </c>
      <c r="G3" s="15" t="s">
        <v>41</v>
      </c>
      <c r="H3" s="15" t="s">
        <v>42</v>
      </c>
      <c r="I3" s="15" t="s">
        <v>79</v>
      </c>
    </row>
    <row r="4" spans="1:23" ht="85.3" customHeight="1">
      <c r="A4" s="106" t="s">
        <v>0</v>
      </c>
      <c r="B4" s="107"/>
      <c r="C4" s="107"/>
      <c r="D4" s="107"/>
      <c r="E4" s="107"/>
      <c r="F4" s="107"/>
      <c r="G4" s="107"/>
      <c r="H4" s="107"/>
      <c r="I4" s="108"/>
    </row>
    <row r="5" spans="1:23">
      <c r="A5" s="132" t="s">
        <v>46</v>
      </c>
      <c r="B5" s="8" t="s">
        <v>10</v>
      </c>
      <c r="C5" s="1">
        <v>62100</v>
      </c>
      <c r="D5" s="1">
        <f>C5</f>
        <v>62100</v>
      </c>
      <c r="E5" s="1">
        <f t="shared" ref="E5:I5" si="0">D5</f>
        <v>62100</v>
      </c>
      <c r="F5" s="1">
        <f t="shared" si="0"/>
        <v>62100</v>
      </c>
      <c r="G5" s="1">
        <f t="shared" si="0"/>
        <v>62100</v>
      </c>
      <c r="H5" s="1">
        <f t="shared" si="0"/>
        <v>62100</v>
      </c>
      <c r="I5" s="1">
        <f t="shared" si="0"/>
        <v>62100</v>
      </c>
      <c r="J5" s="10"/>
      <c r="K5" s="10"/>
      <c r="L5" s="10"/>
    </row>
    <row r="6" spans="1:23">
      <c r="A6" s="133"/>
      <c r="B6" s="8" t="s">
        <v>11</v>
      </c>
      <c r="C6" s="1">
        <v>14500</v>
      </c>
      <c r="D6" s="1">
        <v>9500</v>
      </c>
      <c r="E6" s="1">
        <v>7500</v>
      </c>
      <c r="F6" s="1">
        <v>5000</v>
      </c>
      <c r="G6" s="1">
        <v>4000</v>
      </c>
      <c r="H6" s="1">
        <v>3000</v>
      </c>
      <c r="I6" s="1">
        <v>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>
      <c r="A7" s="133"/>
      <c r="B7" s="20" t="s">
        <v>53</v>
      </c>
      <c r="C7" s="29">
        <v>9500</v>
      </c>
      <c r="D7" s="29">
        <f>C7</f>
        <v>9500</v>
      </c>
      <c r="E7" s="29">
        <f t="shared" ref="E7:H7" si="1">D7</f>
        <v>9500</v>
      </c>
      <c r="F7" s="29">
        <f t="shared" si="1"/>
        <v>9500</v>
      </c>
      <c r="G7" s="29">
        <f t="shared" si="1"/>
        <v>9500</v>
      </c>
      <c r="H7" s="29">
        <f t="shared" si="1"/>
        <v>9500</v>
      </c>
      <c r="I7" s="29">
        <v>7000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>
      <c r="A8" s="133"/>
      <c r="B8" s="20" t="s">
        <v>51</v>
      </c>
      <c r="C8" s="29">
        <f>(((C5-C6)*0.95)*2)-C7*2</f>
        <v>71440</v>
      </c>
      <c r="D8" s="29">
        <f t="shared" ref="D8:I8" si="2">(((D5-D6)*0.95)*2)-D7*2</f>
        <v>80940</v>
      </c>
      <c r="E8" s="29">
        <f t="shared" si="2"/>
        <v>84740</v>
      </c>
      <c r="F8" s="29">
        <f t="shared" si="2"/>
        <v>89490</v>
      </c>
      <c r="G8" s="29">
        <f t="shared" si="2"/>
        <v>91390</v>
      </c>
      <c r="H8" s="29">
        <f t="shared" si="2"/>
        <v>93290</v>
      </c>
      <c r="I8" s="29">
        <f t="shared" si="2"/>
        <v>103990</v>
      </c>
      <c r="J8" s="10"/>
      <c r="K8" s="10"/>
      <c r="L8" s="10"/>
      <c r="M8" s="10"/>
      <c r="N8" s="10"/>
      <c r="O8" s="10"/>
    </row>
    <row r="9" spans="1:23">
      <c r="A9" s="133"/>
      <c r="B9" s="20" t="s">
        <v>52</v>
      </c>
      <c r="C9" s="29">
        <f>(C5-C6)-C7</f>
        <v>38100</v>
      </c>
      <c r="D9" s="29">
        <f t="shared" ref="D9:I9" si="3">(D5-D6)-D7</f>
        <v>43100</v>
      </c>
      <c r="E9" s="29">
        <f t="shared" si="3"/>
        <v>45100</v>
      </c>
      <c r="F9" s="29">
        <f t="shared" si="3"/>
        <v>47600</v>
      </c>
      <c r="G9" s="29">
        <f t="shared" si="3"/>
        <v>48600</v>
      </c>
      <c r="H9" s="29">
        <f t="shared" si="3"/>
        <v>49600</v>
      </c>
      <c r="I9" s="29">
        <f t="shared" si="3"/>
        <v>55100</v>
      </c>
      <c r="J9" s="10"/>
      <c r="K9" s="10"/>
      <c r="L9" s="10"/>
      <c r="M9" s="10"/>
      <c r="N9" s="10"/>
      <c r="O9" s="10"/>
    </row>
    <row r="10" spans="1:23" ht="16" customHeight="1">
      <c r="A10" s="132" t="s">
        <v>47</v>
      </c>
      <c r="B10" s="8" t="s">
        <v>12</v>
      </c>
      <c r="C10" s="1">
        <v>63550</v>
      </c>
      <c r="D10" s="1">
        <f t="shared" ref="D10:G10" si="4">C10</f>
        <v>63550</v>
      </c>
      <c r="E10" s="1">
        <f t="shared" si="4"/>
        <v>63550</v>
      </c>
      <c r="F10" s="1">
        <f t="shared" si="4"/>
        <v>63550</v>
      </c>
      <c r="G10" s="1">
        <f t="shared" si="4"/>
        <v>63550</v>
      </c>
      <c r="H10" s="1">
        <f>G10</f>
        <v>63550</v>
      </c>
      <c r="I10" s="1">
        <f t="shared" ref="I10" si="5">H10</f>
        <v>63550</v>
      </c>
    </row>
    <row r="11" spans="1:23">
      <c r="A11" s="133"/>
      <c r="B11" s="8" t="s">
        <v>11</v>
      </c>
      <c r="C11" s="1">
        <f t="shared" ref="C11:I11" si="6">C6</f>
        <v>14500</v>
      </c>
      <c r="D11" s="1">
        <f t="shared" si="6"/>
        <v>9500</v>
      </c>
      <c r="E11" s="1">
        <f t="shared" si="6"/>
        <v>7500</v>
      </c>
      <c r="F11" s="1">
        <f t="shared" si="6"/>
        <v>5000</v>
      </c>
      <c r="G11" s="1">
        <f t="shared" si="6"/>
        <v>4000</v>
      </c>
      <c r="H11" s="1">
        <f t="shared" si="6"/>
        <v>3000</v>
      </c>
      <c r="I11" s="1">
        <f t="shared" si="6"/>
        <v>0</v>
      </c>
      <c r="J11" s="10"/>
      <c r="K11" s="10"/>
      <c r="L11" s="10"/>
      <c r="M11" s="10"/>
      <c r="N11" s="10"/>
      <c r="O11" s="10"/>
    </row>
    <row r="12" spans="1:23">
      <c r="A12" s="133"/>
      <c r="B12" s="30" t="s">
        <v>53</v>
      </c>
      <c r="C12" s="31">
        <f>C7</f>
        <v>9500</v>
      </c>
      <c r="D12" s="31">
        <f>C12</f>
        <v>9500</v>
      </c>
      <c r="E12" s="31">
        <f t="shared" ref="E12:H12" si="7">D12</f>
        <v>9500</v>
      </c>
      <c r="F12" s="31">
        <f t="shared" si="7"/>
        <v>9500</v>
      </c>
      <c r="G12" s="31">
        <f t="shared" si="7"/>
        <v>9500</v>
      </c>
      <c r="H12" s="31">
        <f t="shared" si="7"/>
        <v>9500</v>
      </c>
      <c r="I12" s="31">
        <f>I7</f>
        <v>7000</v>
      </c>
      <c r="J12" s="10"/>
      <c r="K12" s="10"/>
      <c r="L12" s="10"/>
      <c r="M12" s="10"/>
      <c r="N12" s="10"/>
      <c r="O12" s="10"/>
    </row>
    <row r="13" spans="1:23">
      <c r="A13" s="133"/>
      <c r="B13" s="21" t="s">
        <v>51</v>
      </c>
      <c r="C13" s="31">
        <f>(((C10-C11)*0.95)*2)-C12*2</f>
        <v>74195</v>
      </c>
      <c r="D13" s="31">
        <f t="shared" ref="D13:I13" si="8">(((D10-D11)*0.95)*2)-D12*2</f>
        <v>83695</v>
      </c>
      <c r="E13" s="31">
        <f t="shared" si="8"/>
        <v>87495</v>
      </c>
      <c r="F13" s="31">
        <f t="shared" si="8"/>
        <v>92245</v>
      </c>
      <c r="G13" s="31">
        <f t="shared" si="8"/>
        <v>94145</v>
      </c>
      <c r="H13" s="31">
        <f t="shared" si="8"/>
        <v>96045</v>
      </c>
      <c r="I13" s="31">
        <f t="shared" si="8"/>
        <v>106745</v>
      </c>
    </row>
    <row r="14" spans="1:23">
      <c r="A14" s="133"/>
      <c r="B14" s="21" t="s">
        <v>52</v>
      </c>
      <c r="C14" s="31">
        <f>(C10-C11)-C12</f>
        <v>39550</v>
      </c>
      <c r="D14" s="31">
        <f t="shared" ref="D14:I14" si="9">(D10-D11)-D12</f>
        <v>44550</v>
      </c>
      <c r="E14" s="31">
        <f t="shared" si="9"/>
        <v>46550</v>
      </c>
      <c r="F14" s="31">
        <f t="shared" si="9"/>
        <v>49050</v>
      </c>
      <c r="G14" s="31">
        <f t="shared" si="9"/>
        <v>50050</v>
      </c>
      <c r="H14" s="31">
        <f t="shared" si="9"/>
        <v>51050</v>
      </c>
      <c r="I14" s="31">
        <f t="shared" si="9"/>
        <v>56550</v>
      </c>
    </row>
    <row r="15" spans="1:23">
      <c r="A15" s="132" t="s">
        <v>48</v>
      </c>
      <c r="B15" s="8" t="s">
        <v>12</v>
      </c>
      <c r="C15" s="1">
        <f>C10*1.05</f>
        <v>66727.5</v>
      </c>
      <c r="D15" s="1">
        <f t="shared" ref="D15:G15" si="10">C15</f>
        <v>66727.5</v>
      </c>
      <c r="E15" s="1">
        <f t="shared" si="10"/>
        <v>66727.5</v>
      </c>
      <c r="F15" s="1">
        <f t="shared" si="10"/>
        <v>66727.5</v>
      </c>
      <c r="G15" s="1">
        <f t="shared" si="10"/>
        <v>66727.5</v>
      </c>
      <c r="H15" s="1">
        <f>H10*1.05</f>
        <v>66727.5</v>
      </c>
      <c r="I15" s="1">
        <f t="shared" ref="I15" si="11">H15</f>
        <v>66727.5</v>
      </c>
    </row>
    <row r="16" spans="1:23">
      <c r="A16" s="133"/>
      <c r="B16" s="8" t="s">
        <v>11</v>
      </c>
      <c r="C16" s="1">
        <f t="shared" ref="C16:I16" si="12">C11</f>
        <v>14500</v>
      </c>
      <c r="D16" s="1">
        <f t="shared" si="12"/>
        <v>9500</v>
      </c>
      <c r="E16" s="1">
        <f t="shared" si="12"/>
        <v>7500</v>
      </c>
      <c r="F16" s="1">
        <f t="shared" si="12"/>
        <v>5000</v>
      </c>
      <c r="G16" s="1">
        <f t="shared" si="12"/>
        <v>4000</v>
      </c>
      <c r="H16" s="1">
        <f t="shared" si="12"/>
        <v>3000</v>
      </c>
      <c r="I16" s="1">
        <f t="shared" si="12"/>
        <v>0</v>
      </c>
    </row>
    <row r="17" spans="1:15">
      <c r="A17" s="133"/>
      <c r="B17" s="32" t="s">
        <v>53</v>
      </c>
      <c r="C17" s="33">
        <f>C12</f>
        <v>9500</v>
      </c>
      <c r="D17" s="33">
        <f>C17</f>
        <v>9500</v>
      </c>
      <c r="E17" s="33">
        <f t="shared" ref="E17:H17" si="13">D17</f>
        <v>9500</v>
      </c>
      <c r="F17" s="33">
        <f t="shared" si="13"/>
        <v>9500</v>
      </c>
      <c r="G17" s="33">
        <f t="shared" si="13"/>
        <v>9500</v>
      </c>
      <c r="H17" s="33">
        <f t="shared" si="13"/>
        <v>9500</v>
      </c>
      <c r="I17" s="33">
        <f>I7</f>
        <v>7000</v>
      </c>
    </row>
    <row r="18" spans="1:15">
      <c r="A18" s="133"/>
      <c r="B18" s="22" t="s">
        <v>51</v>
      </c>
      <c r="C18" s="33">
        <f>(((C15-C16)*0.95)*2)-C17*2</f>
        <v>80232.25</v>
      </c>
      <c r="D18" s="33">
        <f t="shared" ref="D18:I18" si="14">(((D15-D16)*0.95)*2)-D17*2</f>
        <v>89732.25</v>
      </c>
      <c r="E18" s="33">
        <f t="shared" si="14"/>
        <v>93532.25</v>
      </c>
      <c r="F18" s="33">
        <f t="shared" si="14"/>
        <v>98282.25</v>
      </c>
      <c r="G18" s="33">
        <f t="shared" si="14"/>
        <v>100182.25</v>
      </c>
      <c r="H18" s="33">
        <f t="shared" si="14"/>
        <v>102082.25</v>
      </c>
      <c r="I18" s="33">
        <f t="shared" si="14"/>
        <v>112782.25</v>
      </c>
    </row>
    <row r="19" spans="1:15">
      <c r="A19" s="133"/>
      <c r="B19" s="22" t="s">
        <v>52</v>
      </c>
      <c r="C19" s="33">
        <f>(C15-C16)-C17</f>
        <v>42727.5</v>
      </c>
      <c r="D19" s="33">
        <f t="shared" ref="D19:I19" si="15">(D15-D16)-D17</f>
        <v>47727.5</v>
      </c>
      <c r="E19" s="33">
        <f t="shared" si="15"/>
        <v>49727.5</v>
      </c>
      <c r="F19" s="33">
        <f t="shared" si="15"/>
        <v>52227.5</v>
      </c>
      <c r="G19" s="33">
        <f t="shared" si="15"/>
        <v>53227.5</v>
      </c>
      <c r="H19" s="33">
        <f t="shared" si="15"/>
        <v>54227.5</v>
      </c>
      <c r="I19" s="33">
        <f t="shared" si="15"/>
        <v>59727.5</v>
      </c>
    </row>
    <row r="20" spans="1:15" ht="16" customHeight="1">
      <c r="A20" s="132" t="s">
        <v>61</v>
      </c>
      <c r="B20" s="8" t="s">
        <v>12</v>
      </c>
      <c r="C20" s="1">
        <f>C15*1.05</f>
        <v>70063.875</v>
      </c>
      <c r="D20" s="1">
        <f t="shared" ref="D20:G20" si="16">C20</f>
        <v>70063.875</v>
      </c>
      <c r="E20" s="1">
        <f t="shared" si="16"/>
        <v>70063.875</v>
      </c>
      <c r="F20" s="1">
        <f t="shared" si="16"/>
        <v>70063.875</v>
      </c>
      <c r="G20" s="1">
        <f t="shared" si="16"/>
        <v>70063.875</v>
      </c>
      <c r="H20" s="1">
        <f>H15*1.05</f>
        <v>70063.875</v>
      </c>
      <c r="I20" s="1">
        <f t="shared" ref="I20" si="17">H20</f>
        <v>70063.875</v>
      </c>
    </row>
    <row r="21" spans="1:15">
      <c r="A21" s="133"/>
      <c r="B21" s="8" t="s">
        <v>11</v>
      </c>
      <c r="C21" s="1">
        <f t="shared" ref="C21:I21" si="18">C16</f>
        <v>14500</v>
      </c>
      <c r="D21" s="1">
        <f t="shared" si="18"/>
        <v>9500</v>
      </c>
      <c r="E21" s="1">
        <f t="shared" si="18"/>
        <v>7500</v>
      </c>
      <c r="F21" s="1">
        <f t="shared" si="18"/>
        <v>5000</v>
      </c>
      <c r="G21" s="1">
        <f t="shared" si="18"/>
        <v>4000</v>
      </c>
      <c r="H21" s="1">
        <f t="shared" si="18"/>
        <v>3000</v>
      </c>
      <c r="I21" s="1">
        <f t="shared" si="18"/>
        <v>0</v>
      </c>
    </row>
    <row r="22" spans="1:15">
      <c r="A22" s="133"/>
      <c r="B22" s="34" t="s">
        <v>53</v>
      </c>
      <c r="C22" s="35">
        <f>C17</f>
        <v>9500</v>
      </c>
      <c r="D22" s="35">
        <f>C22</f>
        <v>9500</v>
      </c>
      <c r="E22" s="35">
        <f t="shared" ref="E22:H22" si="19">D22</f>
        <v>9500</v>
      </c>
      <c r="F22" s="35">
        <f t="shared" si="19"/>
        <v>9500</v>
      </c>
      <c r="G22" s="35">
        <f t="shared" si="19"/>
        <v>9500</v>
      </c>
      <c r="H22" s="35">
        <f t="shared" si="19"/>
        <v>9500</v>
      </c>
      <c r="I22" s="35">
        <f>I17</f>
        <v>7000</v>
      </c>
    </row>
    <row r="23" spans="1:15">
      <c r="A23" s="133"/>
      <c r="B23" s="23" t="s">
        <v>51</v>
      </c>
      <c r="C23" s="35">
        <f>(((C20-C21)*0.95)*2)-C22*2</f>
        <v>86571.362499999988</v>
      </c>
      <c r="D23" s="35">
        <f t="shared" ref="D23:I23" si="20">(((D20-D21)*0.95)*2)-D22*2</f>
        <v>96071.362499999988</v>
      </c>
      <c r="E23" s="35">
        <f t="shared" si="20"/>
        <v>99871.362499999988</v>
      </c>
      <c r="F23" s="35">
        <f t="shared" si="20"/>
        <v>104621.36249999999</v>
      </c>
      <c r="G23" s="35">
        <f t="shared" si="20"/>
        <v>106521.36249999999</v>
      </c>
      <c r="H23" s="35">
        <f t="shared" si="20"/>
        <v>108421.36249999999</v>
      </c>
      <c r="I23" s="35">
        <f t="shared" si="20"/>
        <v>119121.36249999999</v>
      </c>
    </row>
    <row r="24" spans="1:15">
      <c r="A24" s="133"/>
      <c r="B24" s="23" t="s">
        <v>52</v>
      </c>
      <c r="C24" s="35">
        <f>(C20-C21)-C22</f>
        <v>46063.875</v>
      </c>
      <c r="D24" s="35">
        <f t="shared" ref="D24:I24" si="21">(D20-D21)-D22</f>
        <v>51063.875</v>
      </c>
      <c r="E24" s="35">
        <f t="shared" si="21"/>
        <v>53063.875</v>
      </c>
      <c r="F24" s="35">
        <f t="shared" si="21"/>
        <v>55563.875</v>
      </c>
      <c r="G24" s="35">
        <f t="shared" si="21"/>
        <v>56563.875</v>
      </c>
      <c r="H24" s="35">
        <f t="shared" si="21"/>
        <v>57563.875</v>
      </c>
      <c r="I24" s="35">
        <f t="shared" si="21"/>
        <v>63063.875</v>
      </c>
    </row>
    <row r="25" spans="1:15">
      <c r="A25" s="128" t="s">
        <v>13</v>
      </c>
      <c r="B25" s="128"/>
      <c r="C25" s="36">
        <f t="shared" ref="C25:I25" si="22">SUM(C8,C13,C18,C23)</f>
        <v>312438.61249999999</v>
      </c>
      <c r="D25" s="36">
        <f t="shared" si="22"/>
        <v>350438.61249999999</v>
      </c>
      <c r="E25" s="36">
        <f t="shared" si="22"/>
        <v>365638.61249999999</v>
      </c>
      <c r="F25" s="36">
        <f t="shared" si="22"/>
        <v>384638.61249999999</v>
      </c>
      <c r="G25" s="36">
        <f t="shared" si="22"/>
        <v>392238.61249999999</v>
      </c>
      <c r="H25" s="36">
        <f t="shared" si="22"/>
        <v>399838.61249999999</v>
      </c>
      <c r="I25" s="36">
        <f t="shared" si="22"/>
        <v>442638.61249999999</v>
      </c>
    </row>
    <row r="26" spans="1:15">
      <c r="A26" s="140" t="s">
        <v>14</v>
      </c>
      <c r="B26" s="141"/>
      <c r="C26" s="141"/>
      <c r="D26" s="141"/>
      <c r="E26" s="141"/>
      <c r="F26" s="141"/>
      <c r="G26" s="141"/>
      <c r="H26" s="141"/>
      <c r="I26" s="141"/>
      <c r="J26" s="10"/>
      <c r="K26" s="10"/>
      <c r="L26" s="10"/>
      <c r="M26" s="10"/>
      <c r="N26" s="10"/>
      <c r="O26" s="10"/>
    </row>
    <row r="27" spans="1:15" ht="24" customHeight="1">
      <c r="A27" s="132" t="s">
        <v>46</v>
      </c>
      <c r="B27" s="8" t="s">
        <v>15</v>
      </c>
      <c r="C27" s="1">
        <f>C5*0.75</f>
        <v>46575</v>
      </c>
      <c r="D27" s="1">
        <f t="shared" ref="D27:G27" si="23">C27</f>
        <v>46575</v>
      </c>
      <c r="E27" s="1">
        <f t="shared" si="23"/>
        <v>46575</v>
      </c>
      <c r="F27" s="1">
        <f t="shared" si="23"/>
        <v>46575</v>
      </c>
      <c r="G27" s="1">
        <f t="shared" si="23"/>
        <v>46575</v>
      </c>
      <c r="H27" s="1">
        <f>H5*0.75</f>
        <v>46575</v>
      </c>
      <c r="I27" s="1">
        <f t="shared" ref="I27" si="24">H27</f>
        <v>46575</v>
      </c>
    </row>
    <row r="28" spans="1:15">
      <c r="A28" s="133"/>
      <c r="B28" s="8" t="s">
        <v>11</v>
      </c>
      <c r="C28" s="1">
        <v>14500</v>
      </c>
      <c r="D28" s="1">
        <v>9500</v>
      </c>
      <c r="E28" s="1">
        <v>7500</v>
      </c>
      <c r="F28" s="1">
        <v>5000</v>
      </c>
      <c r="G28" s="1">
        <v>4000</v>
      </c>
      <c r="H28" s="1">
        <v>3000</v>
      </c>
      <c r="I28" s="1">
        <v>0</v>
      </c>
      <c r="J28" s="10"/>
      <c r="K28" s="10"/>
      <c r="L28" s="10"/>
      <c r="M28" s="10"/>
      <c r="N28" s="10"/>
      <c r="O28" s="10"/>
    </row>
    <row r="29" spans="1:15">
      <c r="A29" s="133"/>
      <c r="B29" s="20" t="s">
        <v>51</v>
      </c>
      <c r="C29" s="29">
        <f>((C27-C28)*0.95)*2</f>
        <v>60942.5</v>
      </c>
      <c r="D29" s="29">
        <f t="shared" ref="D29:I29" si="25">((D27-D28)*0.95)*2</f>
        <v>70442.5</v>
      </c>
      <c r="E29" s="29">
        <f t="shared" si="25"/>
        <v>74242.5</v>
      </c>
      <c r="F29" s="29">
        <f t="shared" si="25"/>
        <v>78992.5</v>
      </c>
      <c r="G29" s="29">
        <f t="shared" si="25"/>
        <v>80892.5</v>
      </c>
      <c r="H29" s="29">
        <f t="shared" si="25"/>
        <v>82792.5</v>
      </c>
      <c r="I29" s="29">
        <f t="shared" si="25"/>
        <v>88492.5</v>
      </c>
      <c r="J29" s="10"/>
      <c r="K29" s="10"/>
      <c r="L29" s="10"/>
      <c r="M29" s="10"/>
      <c r="N29" s="10"/>
      <c r="O29" s="10"/>
    </row>
    <row r="30" spans="1:15">
      <c r="A30" s="133"/>
      <c r="B30" s="20" t="s">
        <v>52</v>
      </c>
      <c r="C30" s="29">
        <f>(C27-C28)</f>
        <v>32075</v>
      </c>
      <c r="D30" s="29">
        <f t="shared" ref="D30:I30" si="26">(D27-D28)</f>
        <v>37075</v>
      </c>
      <c r="E30" s="29">
        <f t="shared" si="26"/>
        <v>39075</v>
      </c>
      <c r="F30" s="29">
        <f t="shared" si="26"/>
        <v>41575</v>
      </c>
      <c r="G30" s="29">
        <f t="shared" si="26"/>
        <v>42575</v>
      </c>
      <c r="H30" s="29">
        <f t="shared" si="26"/>
        <v>43575</v>
      </c>
      <c r="I30" s="29">
        <f t="shared" si="26"/>
        <v>46575</v>
      </c>
      <c r="J30" s="10"/>
      <c r="K30" s="10"/>
      <c r="L30" s="10"/>
      <c r="M30" s="10"/>
      <c r="N30" s="10"/>
      <c r="O30" s="10"/>
    </row>
    <row r="31" spans="1:15">
      <c r="A31" s="132" t="s">
        <v>47</v>
      </c>
      <c r="B31" s="8" t="s">
        <v>15</v>
      </c>
      <c r="C31" s="1">
        <f>C10*0.75</f>
        <v>47662.5</v>
      </c>
      <c r="D31" s="1">
        <f t="shared" ref="D31:G31" si="27">C31</f>
        <v>47662.5</v>
      </c>
      <c r="E31" s="1">
        <f t="shared" si="27"/>
        <v>47662.5</v>
      </c>
      <c r="F31" s="1">
        <f t="shared" si="27"/>
        <v>47662.5</v>
      </c>
      <c r="G31" s="1">
        <f t="shared" si="27"/>
        <v>47662.5</v>
      </c>
      <c r="H31" s="1">
        <f t="shared" ref="H31" si="28">G31</f>
        <v>47662.5</v>
      </c>
      <c r="I31" s="1">
        <f t="shared" ref="I31" si="29">H31</f>
        <v>47662.5</v>
      </c>
    </row>
    <row r="32" spans="1:15">
      <c r="A32" s="133"/>
      <c r="B32" s="8" t="s">
        <v>11</v>
      </c>
      <c r="C32" s="1">
        <f t="shared" ref="C32:I32" si="30">C28</f>
        <v>14500</v>
      </c>
      <c r="D32" s="1">
        <f t="shared" si="30"/>
        <v>9500</v>
      </c>
      <c r="E32" s="1">
        <f t="shared" si="30"/>
        <v>7500</v>
      </c>
      <c r="F32" s="1">
        <f t="shared" si="30"/>
        <v>5000</v>
      </c>
      <c r="G32" s="1">
        <f t="shared" si="30"/>
        <v>4000</v>
      </c>
      <c r="H32" s="1">
        <f t="shared" si="30"/>
        <v>3000</v>
      </c>
      <c r="I32" s="1">
        <f t="shared" si="30"/>
        <v>0</v>
      </c>
    </row>
    <row r="33" spans="1:9">
      <c r="A33" s="133"/>
      <c r="B33" s="30" t="s">
        <v>51</v>
      </c>
      <c r="C33" s="31">
        <f>((C31-C32)*0.95)*2</f>
        <v>63008.75</v>
      </c>
      <c r="D33" s="31">
        <f t="shared" ref="D33:I33" si="31">((D31-D32)*0.95)*2</f>
        <v>72508.75</v>
      </c>
      <c r="E33" s="31">
        <f t="shared" si="31"/>
        <v>76308.75</v>
      </c>
      <c r="F33" s="31">
        <f t="shared" si="31"/>
        <v>81058.75</v>
      </c>
      <c r="G33" s="31">
        <f t="shared" si="31"/>
        <v>82958.75</v>
      </c>
      <c r="H33" s="31">
        <f t="shared" si="31"/>
        <v>84858.75</v>
      </c>
      <c r="I33" s="31">
        <f t="shared" si="31"/>
        <v>90558.75</v>
      </c>
    </row>
    <row r="34" spans="1:9">
      <c r="A34" s="133"/>
      <c r="B34" s="21" t="s">
        <v>52</v>
      </c>
      <c r="C34" s="31">
        <f>(C31-C32)</f>
        <v>33162.5</v>
      </c>
      <c r="D34" s="31">
        <f t="shared" ref="D34:I34" si="32">(D31-D32)</f>
        <v>38162.5</v>
      </c>
      <c r="E34" s="31">
        <f t="shared" si="32"/>
        <v>40162.5</v>
      </c>
      <c r="F34" s="31">
        <f t="shared" si="32"/>
        <v>42662.5</v>
      </c>
      <c r="G34" s="31">
        <f t="shared" si="32"/>
        <v>43662.5</v>
      </c>
      <c r="H34" s="31">
        <f t="shared" si="32"/>
        <v>44662.5</v>
      </c>
      <c r="I34" s="31">
        <f t="shared" si="32"/>
        <v>47662.5</v>
      </c>
    </row>
    <row r="35" spans="1:9">
      <c r="A35" s="132" t="s">
        <v>48</v>
      </c>
      <c r="B35" s="8" t="s">
        <v>15</v>
      </c>
      <c r="C35" s="1">
        <f>C31*1.05</f>
        <v>50045.625</v>
      </c>
      <c r="D35" s="1">
        <f t="shared" ref="D35:G35" si="33">C35</f>
        <v>50045.625</v>
      </c>
      <c r="E35" s="1">
        <f t="shared" si="33"/>
        <v>50045.625</v>
      </c>
      <c r="F35" s="1">
        <f t="shared" si="33"/>
        <v>50045.625</v>
      </c>
      <c r="G35" s="1">
        <f t="shared" si="33"/>
        <v>50045.625</v>
      </c>
      <c r="H35" s="1">
        <f>H31*1.05</f>
        <v>50045.625</v>
      </c>
      <c r="I35" s="1">
        <f t="shared" ref="I35" si="34">H35</f>
        <v>50045.625</v>
      </c>
    </row>
    <row r="36" spans="1:9">
      <c r="A36" s="133"/>
      <c r="B36" s="8" t="s">
        <v>11</v>
      </c>
      <c r="C36" s="1">
        <f t="shared" ref="C36:I36" si="35">C32</f>
        <v>14500</v>
      </c>
      <c r="D36" s="1">
        <f t="shared" si="35"/>
        <v>9500</v>
      </c>
      <c r="E36" s="1">
        <f t="shared" si="35"/>
        <v>7500</v>
      </c>
      <c r="F36" s="1">
        <f t="shared" si="35"/>
        <v>5000</v>
      </c>
      <c r="G36" s="1">
        <f t="shared" si="35"/>
        <v>4000</v>
      </c>
      <c r="H36" s="1">
        <f t="shared" si="35"/>
        <v>3000</v>
      </c>
      <c r="I36" s="1">
        <f t="shared" si="35"/>
        <v>0</v>
      </c>
    </row>
    <row r="37" spans="1:9">
      <c r="A37" s="133"/>
      <c r="B37" s="32" t="s">
        <v>51</v>
      </c>
      <c r="C37" s="33">
        <f>((C35-C36)*0.95)*2</f>
        <v>67536.6875</v>
      </c>
      <c r="D37" s="33">
        <f t="shared" ref="D37:I37" si="36">((D35-D36)*0.95)*2</f>
        <v>77036.6875</v>
      </c>
      <c r="E37" s="33">
        <f t="shared" si="36"/>
        <v>80836.6875</v>
      </c>
      <c r="F37" s="33">
        <f t="shared" si="36"/>
        <v>85586.6875</v>
      </c>
      <c r="G37" s="33">
        <f t="shared" si="36"/>
        <v>87486.6875</v>
      </c>
      <c r="H37" s="33">
        <f t="shared" si="36"/>
        <v>89386.6875</v>
      </c>
      <c r="I37" s="33">
        <f t="shared" si="36"/>
        <v>95086.6875</v>
      </c>
    </row>
    <row r="38" spans="1:9">
      <c r="A38" s="133"/>
      <c r="B38" s="22" t="s">
        <v>52</v>
      </c>
      <c r="C38" s="33">
        <f>(C35-C36)</f>
        <v>35545.625</v>
      </c>
      <c r="D38" s="33">
        <f t="shared" ref="D38:I38" si="37">(D35-D36)</f>
        <v>40545.625</v>
      </c>
      <c r="E38" s="33">
        <f t="shared" si="37"/>
        <v>42545.625</v>
      </c>
      <c r="F38" s="33">
        <f t="shared" si="37"/>
        <v>45045.625</v>
      </c>
      <c r="G38" s="33">
        <f t="shared" si="37"/>
        <v>46045.625</v>
      </c>
      <c r="H38" s="33">
        <f t="shared" si="37"/>
        <v>47045.625</v>
      </c>
      <c r="I38" s="33">
        <f t="shared" si="37"/>
        <v>50045.625</v>
      </c>
    </row>
    <row r="39" spans="1:9">
      <c r="A39" s="132" t="s">
        <v>61</v>
      </c>
      <c r="B39" s="8" t="s">
        <v>15</v>
      </c>
      <c r="C39" s="1">
        <f>C35*1.05</f>
        <v>52547.90625</v>
      </c>
      <c r="D39" s="1">
        <f t="shared" ref="D39:G39" si="38">C39</f>
        <v>52547.90625</v>
      </c>
      <c r="E39" s="1">
        <f t="shared" si="38"/>
        <v>52547.90625</v>
      </c>
      <c r="F39" s="1">
        <f t="shared" si="38"/>
        <v>52547.90625</v>
      </c>
      <c r="G39" s="1">
        <f t="shared" si="38"/>
        <v>52547.90625</v>
      </c>
      <c r="H39" s="1">
        <f>H35*1.05</f>
        <v>52547.90625</v>
      </c>
      <c r="I39" s="1">
        <f t="shared" ref="I39" si="39">H39</f>
        <v>52547.90625</v>
      </c>
    </row>
    <row r="40" spans="1:9">
      <c r="A40" s="133"/>
      <c r="B40" s="8" t="s">
        <v>11</v>
      </c>
      <c r="C40" s="1">
        <f t="shared" ref="C40:I40" si="40">C36</f>
        <v>14500</v>
      </c>
      <c r="D40" s="1">
        <f t="shared" si="40"/>
        <v>9500</v>
      </c>
      <c r="E40" s="1">
        <f t="shared" si="40"/>
        <v>7500</v>
      </c>
      <c r="F40" s="1">
        <f t="shared" si="40"/>
        <v>5000</v>
      </c>
      <c r="G40" s="1">
        <f t="shared" si="40"/>
        <v>4000</v>
      </c>
      <c r="H40" s="1">
        <f t="shared" si="40"/>
        <v>3000</v>
      </c>
      <c r="I40" s="1">
        <f t="shared" si="40"/>
        <v>0</v>
      </c>
    </row>
    <row r="41" spans="1:9">
      <c r="A41" s="133"/>
      <c r="B41" s="34" t="s">
        <v>51</v>
      </c>
      <c r="C41" s="35">
        <f>((C39-C40)*0.95)*2</f>
        <v>72291.021874999991</v>
      </c>
      <c r="D41" s="35">
        <f t="shared" ref="D41:I41" si="41">((D39-D40)*0.95)*2</f>
        <v>81791.021874999991</v>
      </c>
      <c r="E41" s="35">
        <f t="shared" si="41"/>
        <v>85591.021874999991</v>
      </c>
      <c r="F41" s="35">
        <f t="shared" si="41"/>
        <v>90341.021874999991</v>
      </c>
      <c r="G41" s="35">
        <f t="shared" si="41"/>
        <v>92241.021874999991</v>
      </c>
      <c r="H41" s="35">
        <f t="shared" si="41"/>
        <v>94141.021874999991</v>
      </c>
      <c r="I41" s="35">
        <f t="shared" si="41"/>
        <v>99841.021874999991</v>
      </c>
    </row>
    <row r="42" spans="1:9">
      <c r="A42" s="133"/>
      <c r="B42" s="23" t="s">
        <v>52</v>
      </c>
      <c r="C42" s="35">
        <f>(C39-C40)</f>
        <v>38047.90625</v>
      </c>
      <c r="D42" s="35">
        <f t="shared" ref="D42:I42" si="42">(D39-D40)</f>
        <v>43047.90625</v>
      </c>
      <c r="E42" s="35">
        <f t="shared" si="42"/>
        <v>45047.90625</v>
      </c>
      <c r="F42" s="35">
        <f t="shared" si="42"/>
        <v>47547.90625</v>
      </c>
      <c r="G42" s="35">
        <f t="shared" si="42"/>
        <v>48547.90625</v>
      </c>
      <c r="H42" s="35">
        <f t="shared" si="42"/>
        <v>49547.90625</v>
      </c>
      <c r="I42" s="35">
        <f t="shared" si="42"/>
        <v>52547.90625</v>
      </c>
    </row>
    <row r="43" spans="1:9">
      <c r="A43" s="128" t="s">
        <v>13</v>
      </c>
      <c r="B43" s="128"/>
      <c r="C43" s="36">
        <f t="shared" ref="C43:I43" si="43">SUM(C29,C33,C37,C41)</f>
        <v>263778.95937499998</v>
      </c>
      <c r="D43" s="36">
        <f t="shared" si="43"/>
        <v>301778.95937499998</v>
      </c>
      <c r="E43" s="36">
        <f t="shared" si="43"/>
        <v>316978.95937499998</v>
      </c>
      <c r="F43" s="36">
        <f t="shared" si="43"/>
        <v>335978.95937499998</v>
      </c>
      <c r="G43" s="36">
        <f t="shared" si="43"/>
        <v>343578.95937499998</v>
      </c>
      <c r="H43" s="36">
        <f t="shared" si="43"/>
        <v>351178.95937499998</v>
      </c>
      <c r="I43" s="36">
        <f t="shared" si="43"/>
        <v>373978.95937499998</v>
      </c>
    </row>
    <row r="44" spans="1:9" ht="16" customHeight="1">
      <c r="A44" s="105" t="s">
        <v>16</v>
      </c>
      <c r="B44" s="105"/>
      <c r="C44" s="105"/>
      <c r="D44" s="105"/>
      <c r="E44" s="105"/>
      <c r="F44" s="105"/>
      <c r="G44" s="105"/>
      <c r="H44" s="105"/>
      <c r="I44" s="105"/>
    </row>
    <row r="45" spans="1:9" ht="16" customHeight="1">
      <c r="A45" s="105"/>
      <c r="B45" s="105"/>
      <c r="C45" s="105"/>
      <c r="D45" s="105"/>
      <c r="E45" s="105"/>
      <c r="F45" s="105"/>
      <c r="G45" s="105"/>
      <c r="H45" s="105"/>
      <c r="I45" s="105"/>
    </row>
    <row r="46" spans="1:9" ht="17.05" customHeight="1">
      <c r="A46" s="105"/>
      <c r="B46" s="105"/>
      <c r="C46" s="105"/>
      <c r="D46" s="105"/>
      <c r="E46" s="105"/>
      <c r="F46" s="105"/>
      <c r="G46" s="105"/>
      <c r="H46" s="105"/>
      <c r="I46" s="105"/>
    </row>
    <row r="47" spans="1:9">
      <c r="A47" s="123" t="s">
        <v>17</v>
      </c>
      <c r="B47" s="139"/>
      <c r="C47" s="118" t="s">
        <v>18</v>
      </c>
      <c r="D47" s="118"/>
      <c r="E47" s="2">
        <v>5000</v>
      </c>
      <c r="F47" s="112"/>
      <c r="G47" s="113"/>
      <c r="H47" s="113"/>
      <c r="I47" s="113"/>
    </row>
    <row r="48" spans="1:9" ht="16" customHeight="1">
      <c r="A48" s="123"/>
      <c r="B48" s="139"/>
      <c r="C48" s="119" t="s">
        <v>19</v>
      </c>
      <c r="D48" s="119"/>
      <c r="E48" s="5">
        <v>3000</v>
      </c>
      <c r="F48" s="114"/>
      <c r="G48" s="115"/>
      <c r="H48" s="115"/>
      <c r="I48" s="115"/>
    </row>
    <row r="49" spans="1:9" ht="16" customHeight="1" thickBot="1">
      <c r="A49" s="123"/>
      <c r="B49" s="139"/>
      <c r="C49" s="120" t="s">
        <v>20</v>
      </c>
      <c r="D49" s="120"/>
      <c r="E49" s="11">
        <v>3000</v>
      </c>
      <c r="F49" s="114"/>
      <c r="G49" s="115"/>
      <c r="H49" s="115"/>
      <c r="I49" s="115"/>
    </row>
    <row r="50" spans="1:9">
      <c r="A50" s="127" t="s">
        <v>82</v>
      </c>
      <c r="B50" s="127"/>
      <c r="C50" s="128" t="s">
        <v>30</v>
      </c>
      <c r="D50" s="128"/>
      <c r="E50" s="8">
        <v>18500</v>
      </c>
      <c r="F50" s="115"/>
      <c r="G50" s="115"/>
      <c r="H50" s="115"/>
      <c r="I50" s="129"/>
    </row>
    <row r="51" spans="1:9">
      <c r="A51" s="127"/>
      <c r="B51" s="127"/>
      <c r="C51" s="128" t="s">
        <v>31</v>
      </c>
      <c r="D51" s="128"/>
      <c r="E51" s="8">
        <v>9750</v>
      </c>
      <c r="F51" s="117"/>
      <c r="G51" s="117"/>
      <c r="H51" s="117"/>
      <c r="I51" s="130"/>
    </row>
    <row r="52" spans="1:9" ht="33" customHeight="1">
      <c r="A52" s="12" t="s">
        <v>21</v>
      </c>
      <c r="B52" s="12" t="s">
        <v>22</v>
      </c>
      <c r="C52" s="13" t="s">
        <v>23</v>
      </c>
      <c r="D52" s="13" t="s">
        <v>24</v>
      </c>
      <c r="E52" s="13" t="s">
        <v>25</v>
      </c>
      <c r="F52" s="13" t="s">
        <v>26</v>
      </c>
      <c r="G52" s="12" t="s">
        <v>27</v>
      </c>
      <c r="H52" s="12" t="s">
        <v>28</v>
      </c>
      <c r="I52" s="12" t="s">
        <v>29</v>
      </c>
    </row>
    <row r="53" spans="1:9" ht="14.5" customHeight="1">
      <c r="A53" s="9" t="s">
        <v>30</v>
      </c>
      <c r="B53" s="5">
        <f>B54*2</f>
        <v>7000</v>
      </c>
      <c r="C53" s="5">
        <f t="shared" ref="C53:H53" si="44">C54*2</f>
        <v>5000</v>
      </c>
      <c r="D53" s="5">
        <v>1000</v>
      </c>
      <c r="E53" s="5">
        <f t="shared" si="44"/>
        <v>1500</v>
      </c>
      <c r="F53" s="5">
        <f t="shared" si="44"/>
        <v>1000</v>
      </c>
      <c r="G53" s="5">
        <f t="shared" si="44"/>
        <v>1000</v>
      </c>
      <c r="H53" s="5">
        <f t="shared" si="44"/>
        <v>2000</v>
      </c>
      <c r="I53" s="5">
        <f>SUM(B53:H53)</f>
        <v>18500</v>
      </c>
    </row>
    <row r="54" spans="1:9" ht="14.5" customHeight="1">
      <c r="A54" s="9" t="s">
        <v>31</v>
      </c>
      <c r="B54" s="5">
        <v>3500</v>
      </c>
      <c r="C54" s="5">
        <v>2500</v>
      </c>
      <c r="D54" s="14">
        <v>1000</v>
      </c>
      <c r="E54" s="14">
        <v>750</v>
      </c>
      <c r="F54" s="14">
        <v>500</v>
      </c>
      <c r="G54" s="5">
        <v>500</v>
      </c>
      <c r="H54" s="5">
        <v>1000</v>
      </c>
      <c r="I54" s="5">
        <f>SUM(B54:H54)</f>
        <v>9750</v>
      </c>
    </row>
    <row r="55" spans="1:9">
      <c r="A55" s="104" t="s">
        <v>55</v>
      </c>
      <c r="B55" s="104"/>
      <c r="C55" s="104"/>
      <c r="D55" s="104"/>
      <c r="E55" s="104"/>
      <c r="F55" s="104"/>
      <c r="G55" s="104"/>
      <c r="H55" s="104"/>
      <c r="I55" s="104"/>
    </row>
    <row r="56" spans="1:9" ht="28.75" customHeight="1">
      <c r="A56" s="152" t="s">
        <v>56</v>
      </c>
      <c r="B56" s="152"/>
      <c r="C56" s="152"/>
      <c r="D56" s="152"/>
      <c r="E56" s="152"/>
      <c r="F56" s="152"/>
      <c r="G56" s="152"/>
      <c r="H56" s="152"/>
      <c r="I56" s="152"/>
    </row>
    <row r="57" spans="1:9" ht="39" customHeight="1">
      <c r="A57" s="104" t="s">
        <v>32</v>
      </c>
      <c r="B57" s="104"/>
      <c r="C57" s="104"/>
      <c r="D57" s="104"/>
      <c r="E57" s="104"/>
      <c r="F57" s="104"/>
      <c r="G57" s="104"/>
      <c r="H57" s="104"/>
      <c r="I57" s="104"/>
    </row>
    <row r="58" spans="1:9">
      <c r="A58" s="149" t="s">
        <v>85</v>
      </c>
      <c r="B58" s="150"/>
      <c r="C58" s="150"/>
      <c r="D58" s="150"/>
      <c r="E58" s="150"/>
      <c r="F58" s="150"/>
      <c r="G58" s="150"/>
      <c r="H58" s="150"/>
      <c r="I58" s="151"/>
    </row>
    <row r="59" spans="1:9">
      <c r="A59" s="104" t="s">
        <v>9</v>
      </c>
      <c r="B59" s="104"/>
      <c r="C59" s="104"/>
      <c r="D59" s="104"/>
      <c r="E59" s="104"/>
      <c r="F59" s="104"/>
      <c r="G59" s="104"/>
      <c r="H59" s="104"/>
      <c r="I59" s="104"/>
    </row>
  </sheetData>
  <mergeCells count="29">
    <mergeCell ref="A1:I1"/>
    <mergeCell ref="A56:I56"/>
    <mergeCell ref="A57:I57"/>
    <mergeCell ref="A2:I2"/>
    <mergeCell ref="A5:A9"/>
    <mergeCell ref="A10:A14"/>
    <mergeCell ref="A15:A19"/>
    <mergeCell ref="A20:A24"/>
    <mergeCell ref="A55:I55"/>
    <mergeCell ref="A31:A34"/>
    <mergeCell ref="A35:A38"/>
    <mergeCell ref="A39:A42"/>
    <mergeCell ref="A27:A30"/>
    <mergeCell ref="A43:B43"/>
    <mergeCell ref="A44:I46"/>
    <mergeCell ref="C47:D47"/>
    <mergeCell ref="A59:I59"/>
    <mergeCell ref="A4:I4"/>
    <mergeCell ref="A26:I26"/>
    <mergeCell ref="A50:B51"/>
    <mergeCell ref="C50:D50"/>
    <mergeCell ref="F50:I51"/>
    <mergeCell ref="C51:D51"/>
    <mergeCell ref="A58:I58"/>
    <mergeCell ref="A25:B25"/>
    <mergeCell ref="F47:I49"/>
    <mergeCell ref="C48:D48"/>
    <mergeCell ref="C49:D49"/>
    <mergeCell ref="A47:B49"/>
  </mergeCells>
  <pageMargins left="0.7" right="0.7" top="0.75" bottom="0.75" header="0.3" footer="0.3"/>
  <pageSetup paperSize="9" scale="3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AE5F3-B2BB-FC44-BAA7-FF55E70C0FC6}">
  <sheetPr>
    <pageSetUpPr fitToPage="1"/>
  </sheetPr>
  <dimension ref="A1:O53"/>
  <sheetViews>
    <sheetView zoomScale="66" workbookViewId="0">
      <selection activeCell="B5" sqref="B5"/>
    </sheetView>
  </sheetViews>
  <sheetFormatPr defaultColWidth="8.85546875" defaultRowHeight="15.9"/>
  <cols>
    <col min="1" max="1" width="17.35546875" customWidth="1"/>
    <col min="2" max="2" width="23" bestFit="1" customWidth="1"/>
    <col min="3" max="3" width="4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9" width="16.640625" customWidth="1"/>
  </cols>
  <sheetData>
    <row r="1" spans="1:15">
      <c r="A1" s="131" t="s">
        <v>108</v>
      </c>
      <c r="B1" s="131"/>
      <c r="C1" s="131"/>
      <c r="D1" s="131"/>
      <c r="E1" s="131"/>
      <c r="F1" s="131"/>
      <c r="G1" s="131"/>
      <c r="H1" s="131"/>
      <c r="I1" s="131"/>
    </row>
    <row r="2" spans="1:15" ht="53.15" customHeight="1">
      <c r="A2" s="134" t="s">
        <v>109</v>
      </c>
      <c r="B2" s="134"/>
      <c r="C2" s="134"/>
      <c r="D2" s="134"/>
      <c r="E2" s="134"/>
      <c r="F2" s="134"/>
      <c r="G2" s="134"/>
      <c r="H2" s="134"/>
      <c r="I2" s="134"/>
    </row>
    <row r="3" spans="1:15" ht="67" customHeight="1">
      <c r="A3" s="15" t="s">
        <v>1</v>
      </c>
      <c r="B3" s="16" t="s">
        <v>2</v>
      </c>
      <c r="C3" s="15" t="s">
        <v>37</v>
      </c>
      <c r="D3" s="15" t="s">
        <v>38</v>
      </c>
      <c r="E3" s="15" t="s">
        <v>39</v>
      </c>
      <c r="F3" s="15" t="s">
        <v>40</v>
      </c>
      <c r="G3" s="15" t="s">
        <v>41</v>
      </c>
      <c r="H3" s="15" t="s">
        <v>42</v>
      </c>
      <c r="I3" s="15" t="s">
        <v>78</v>
      </c>
    </row>
    <row r="4" spans="1:15" ht="67" customHeight="1">
      <c r="A4" s="106" t="s">
        <v>0</v>
      </c>
      <c r="B4" s="107"/>
      <c r="C4" s="107"/>
      <c r="D4" s="107"/>
      <c r="E4" s="107"/>
      <c r="F4" s="107"/>
      <c r="G4" s="107"/>
      <c r="H4" s="107"/>
      <c r="I4" s="108"/>
    </row>
    <row r="5" spans="1:15">
      <c r="A5" s="132" t="s">
        <v>46</v>
      </c>
      <c r="B5" s="8" t="s">
        <v>10</v>
      </c>
      <c r="C5" s="1">
        <v>72100</v>
      </c>
      <c r="D5" s="1">
        <f>C5</f>
        <v>72100</v>
      </c>
      <c r="E5" s="1">
        <f t="shared" ref="E5:I5" si="0">D5</f>
        <v>72100</v>
      </c>
      <c r="F5" s="1">
        <f t="shared" si="0"/>
        <v>72100</v>
      </c>
      <c r="G5" s="1">
        <f t="shared" si="0"/>
        <v>72100</v>
      </c>
      <c r="H5" s="1">
        <f t="shared" si="0"/>
        <v>72100</v>
      </c>
      <c r="I5" s="1">
        <f t="shared" si="0"/>
        <v>72100</v>
      </c>
    </row>
    <row r="6" spans="1:15">
      <c r="A6" s="133"/>
      <c r="B6" s="8" t="s">
        <v>11</v>
      </c>
      <c r="C6" s="1">
        <v>15000</v>
      </c>
      <c r="D6" s="1">
        <v>13000</v>
      </c>
      <c r="E6" s="1">
        <v>11000</v>
      </c>
      <c r="F6" s="1">
        <v>9000</v>
      </c>
      <c r="G6" s="1">
        <v>6500</v>
      </c>
      <c r="H6" s="1">
        <v>4500</v>
      </c>
      <c r="I6" s="1">
        <v>0</v>
      </c>
    </row>
    <row r="7" spans="1:15">
      <c r="A7" s="133"/>
      <c r="B7" s="30" t="s">
        <v>53</v>
      </c>
      <c r="C7" s="31">
        <v>16500</v>
      </c>
      <c r="D7" s="31">
        <f>C7</f>
        <v>16500</v>
      </c>
      <c r="E7" s="31">
        <f t="shared" ref="E7:H7" si="1">D7</f>
        <v>16500</v>
      </c>
      <c r="F7" s="31">
        <f t="shared" si="1"/>
        <v>16500</v>
      </c>
      <c r="G7" s="31">
        <f t="shared" si="1"/>
        <v>16500</v>
      </c>
      <c r="H7" s="31">
        <f t="shared" si="1"/>
        <v>16500</v>
      </c>
      <c r="I7" s="31">
        <v>12500</v>
      </c>
    </row>
    <row r="8" spans="1:15">
      <c r="A8" s="133"/>
      <c r="B8" s="21" t="s">
        <v>51</v>
      </c>
      <c r="C8" s="31">
        <f>(((C5-C6)*0.95)*2)-C7*2</f>
        <v>75490</v>
      </c>
      <c r="D8" s="31">
        <f t="shared" ref="D8:I8" si="2">(((D5-D6)*0.95)*2)-D7*2</f>
        <v>79290</v>
      </c>
      <c r="E8" s="31">
        <f t="shared" si="2"/>
        <v>83090</v>
      </c>
      <c r="F8" s="31">
        <f t="shared" si="2"/>
        <v>86890</v>
      </c>
      <c r="G8" s="31">
        <f t="shared" si="2"/>
        <v>91640</v>
      </c>
      <c r="H8" s="31">
        <f t="shared" si="2"/>
        <v>95440</v>
      </c>
      <c r="I8" s="31">
        <f t="shared" si="2"/>
        <v>111990</v>
      </c>
    </row>
    <row r="9" spans="1:15">
      <c r="A9" s="133"/>
      <c r="B9" s="21" t="s">
        <v>52</v>
      </c>
      <c r="C9" s="31">
        <f>(C5-C6)-C7</f>
        <v>40600</v>
      </c>
      <c r="D9" s="31">
        <f t="shared" ref="D9:I9" si="3">(D5-D6)-D7</f>
        <v>42600</v>
      </c>
      <c r="E9" s="31">
        <f t="shared" si="3"/>
        <v>44600</v>
      </c>
      <c r="F9" s="31">
        <f t="shared" si="3"/>
        <v>46600</v>
      </c>
      <c r="G9" s="31">
        <f t="shared" si="3"/>
        <v>49100</v>
      </c>
      <c r="H9" s="31">
        <f t="shared" si="3"/>
        <v>51100</v>
      </c>
      <c r="I9" s="31">
        <f t="shared" si="3"/>
        <v>59600</v>
      </c>
      <c r="J9" s="10"/>
      <c r="K9" s="10"/>
      <c r="L9" s="10"/>
      <c r="M9" s="10"/>
      <c r="N9" s="10"/>
      <c r="O9" s="10"/>
    </row>
    <row r="10" spans="1:15" ht="16" customHeight="1">
      <c r="A10" s="132" t="s">
        <v>47</v>
      </c>
      <c r="B10" s="8" t="s">
        <v>12</v>
      </c>
      <c r="C10" s="1">
        <v>74050</v>
      </c>
      <c r="D10" s="1">
        <f t="shared" ref="D10:I10" si="4">C10</f>
        <v>74050</v>
      </c>
      <c r="E10" s="1">
        <f t="shared" si="4"/>
        <v>74050</v>
      </c>
      <c r="F10" s="1">
        <f t="shared" si="4"/>
        <v>74050</v>
      </c>
      <c r="G10" s="1">
        <f t="shared" si="4"/>
        <v>74050</v>
      </c>
      <c r="H10" s="1">
        <f t="shared" si="4"/>
        <v>74050</v>
      </c>
      <c r="I10" s="1">
        <f t="shared" si="4"/>
        <v>74050</v>
      </c>
    </row>
    <row r="11" spans="1:15">
      <c r="A11" s="133"/>
      <c r="B11" s="8" t="s">
        <v>11</v>
      </c>
      <c r="C11" s="1">
        <f t="shared" ref="C11:I11" si="5">C6</f>
        <v>15000</v>
      </c>
      <c r="D11" s="1">
        <f t="shared" si="5"/>
        <v>13000</v>
      </c>
      <c r="E11" s="1">
        <f t="shared" si="5"/>
        <v>11000</v>
      </c>
      <c r="F11" s="1">
        <f t="shared" si="5"/>
        <v>9000</v>
      </c>
      <c r="G11" s="1">
        <f t="shared" si="5"/>
        <v>6500</v>
      </c>
      <c r="H11" s="1">
        <f t="shared" si="5"/>
        <v>4500</v>
      </c>
      <c r="I11" s="1">
        <f t="shared" si="5"/>
        <v>0</v>
      </c>
    </row>
    <row r="12" spans="1:15">
      <c r="A12" s="133"/>
      <c r="B12" s="32" t="s">
        <v>53</v>
      </c>
      <c r="C12" s="33">
        <f>C7</f>
        <v>16500</v>
      </c>
      <c r="D12" s="33">
        <f t="shared" ref="D12:I12" si="6">D7</f>
        <v>16500</v>
      </c>
      <c r="E12" s="33">
        <f t="shared" si="6"/>
        <v>16500</v>
      </c>
      <c r="F12" s="33">
        <f t="shared" si="6"/>
        <v>16500</v>
      </c>
      <c r="G12" s="33">
        <f t="shared" si="6"/>
        <v>16500</v>
      </c>
      <c r="H12" s="33">
        <f t="shared" si="6"/>
        <v>16500</v>
      </c>
      <c r="I12" s="33">
        <f t="shared" si="6"/>
        <v>12500</v>
      </c>
    </row>
    <row r="13" spans="1:15">
      <c r="A13" s="133"/>
      <c r="B13" s="22" t="s">
        <v>51</v>
      </c>
      <c r="C13" s="33">
        <f>(((C10-C11)*0.95)*2)-C12*2</f>
        <v>79195</v>
      </c>
      <c r="D13" s="33">
        <f t="shared" ref="D13" si="7">(((D10-D11)*0.95)*2)-D12*2</f>
        <v>82995</v>
      </c>
      <c r="E13" s="33">
        <f t="shared" ref="E13" si="8">(((E10-E11)*0.95)*2)-E12*2</f>
        <v>86795</v>
      </c>
      <c r="F13" s="33">
        <f t="shared" ref="F13" si="9">(((F10-F11)*0.95)*2)-F12*2</f>
        <v>90595</v>
      </c>
      <c r="G13" s="33">
        <f t="shared" ref="G13" si="10">(((G10-G11)*0.95)*2)-G12*2</f>
        <v>95345</v>
      </c>
      <c r="H13" s="33">
        <f t="shared" ref="H13" si="11">(((H10-H11)*0.95)*2)-H12*2</f>
        <v>99145</v>
      </c>
      <c r="I13" s="33">
        <f t="shared" ref="I13" si="12">(((I10-I11)*0.95)*2)-I12*2</f>
        <v>115695</v>
      </c>
    </row>
    <row r="14" spans="1:15">
      <c r="A14" s="133"/>
      <c r="B14" s="22" t="s">
        <v>52</v>
      </c>
      <c r="C14" s="33">
        <f>(C10-C11)-C12</f>
        <v>42550</v>
      </c>
      <c r="D14" s="33">
        <f t="shared" ref="D14:I14" si="13">(D10-D11)-D12</f>
        <v>44550</v>
      </c>
      <c r="E14" s="33">
        <f t="shared" si="13"/>
        <v>46550</v>
      </c>
      <c r="F14" s="33">
        <f t="shared" si="13"/>
        <v>48550</v>
      </c>
      <c r="G14" s="33">
        <f t="shared" si="13"/>
        <v>51050</v>
      </c>
      <c r="H14" s="33">
        <f t="shared" si="13"/>
        <v>53050</v>
      </c>
      <c r="I14" s="33">
        <f t="shared" si="13"/>
        <v>61550</v>
      </c>
    </row>
    <row r="15" spans="1:15">
      <c r="A15" s="132" t="s">
        <v>48</v>
      </c>
      <c r="B15" s="8" t="s">
        <v>12</v>
      </c>
      <c r="C15" s="1">
        <f>C10*1.05</f>
        <v>77752.5</v>
      </c>
      <c r="D15" s="1">
        <f t="shared" ref="D15:I15" si="14">C15</f>
        <v>77752.5</v>
      </c>
      <c r="E15" s="1">
        <f t="shared" si="14"/>
        <v>77752.5</v>
      </c>
      <c r="F15" s="1">
        <f t="shared" si="14"/>
        <v>77752.5</v>
      </c>
      <c r="G15" s="1">
        <f t="shared" si="14"/>
        <v>77752.5</v>
      </c>
      <c r="H15" s="1">
        <f t="shared" si="14"/>
        <v>77752.5</v>
      </c>
      <c r="I15" s="1">
        <f t="shared" si="14"/>
        <v>77752.5</v>
      </c>
    </row>
    <row r="16" spans="1:15">
      <c r="A16" s="133"/>
      <c r="B16" s="8" t="s">
        <v>11</v>
      </c>
      <c r="C16" s="1">
        <f t="shared" ref="C16:I16" si="15">C11</f>
        <v>15000</v>
      </c>
      <c r="D16" s="1">
        <f t="shared" si="15"/>
        <v>13000</v>
      </c>
      <c r="E16" s="1">
        <f t="shared" si="15"/>
        <v>11000</v>
      </c>
      <c r="F16" s="1">
        <f t="shared" si="15"/>
        <v>9000</v>
      </c>
      <c r="G16" s="1">
        <f t="shared" si="15"/>
        <v>6500</v>
      </c>
      <c r="H16" s="1">
        <f t="shared" si="15"/>
        <v>4500</v>
      </c>
      <c r="I16" s="1">
        <f t="shared" si="15"/>
        <v>0</v>
      </c>
    </row>
    <row r="17" spans="1:15">
      <c r="A17" s="133"/>
      <c r="B17" s="34" t="s">
        <v>53</v>
      </c>
      <c r="C17" s="35">
        <f>C12</f>
        <v>16500</v>
      </c>
      <c r="D17" s="35">
        <f t="shared" ref="D17:I17" si="16">D12</f>
        <v>16500</v>
      </c>
      <c r="E17" s="35">
        <f t="shared" si="16"/>
        <v>16500</v>
      </c>
      <c r="F17" s="35">
        <f t="shared" si="16"/>
        <v>16500</v>
      </c>
      <c r="G17" s="35">
        <f t="shared" si="16"/>
        <v>16500</v>
      </c>
      <c r="H17" s="35">
        <f t="shared" si="16"/>
        <v>16500</v>
      </c>
      <c r="I17" s="35">
        <f t="shared" si="16"/>
        <v>12500</v>
      </c>
    </row>
    <row r="18" spans="1:15">
      <c r="A18" s="133"/>
      <c r="B18" s="23" t="s">
        <v>51</v>
      </c>
      <c r="C18" s="35">
        <f>(((C15-C16)*0.95)*2)-C17*2</f>
        <v>86229.75</v>
      </c>
      <c r="D18" s="35">
        <f t="shared" ref="D18" si="17">(((D15-D16)*0.95)*2)-D17*2</f>
        <v>90029.75</v>
      </c>
      <c r="E18" s="35">
        <f t="shared" ref="E18" si="18">(((E15-E16)*0.95)*2)-E17*2</f>
        <v>93829.75</v>
      </c>
      <c r="F18" s="35">
        <f t="shared" ref="F18" si="19">(((F15-F16)*0.95)*2)-F17*2</f>
        <v>97629.75</v>
      </c>
      <c r="G18" s="35">
        <f t="shared" ref="G18" si="20">(((G15-G16)*0.95)*2)-G17*2</f>
        <v>102379.75</v>
      </c>
      <c r="H18" s="35">
        <f t="shared" ref="H18" si="21">(((H15-H16)*0.95)*2)-H17*2</f>
        <v>106179.75</v>
      </c>
      <c r="I18" s="35">
        <f t="shared" ref="I18" si="22">(((I15-I16)*0.95)*2)-I17*2</f>
        <v>122729.75</v>
      </c>
    </row>
    <row r="19" spans="1:15">
      <c r="A19" s="133"/>
      <c r="B19" s="23" t="s">
        <v>52</v>
      </c>
      <c r="C19" s="35">
        <f>(C15-C16)-C17</f>
        <v>46252.5</v>
      </c>
      <c r="D19" s="35">
        <f t="shared" ref="D19:I19" si="23">(D15-D16)-D17</f>
        <v>48252.5</v>
      </c>
      <c r="E19" s="35">
        <f t="shared" si="23"/>
        <v>50252.5</v>
      </c>
      <c r="F19" s="35">
        <f t="shared" si="23"/>
        <v>52252.5</v>
      </c>
      <c r="G19" s="35">
        <f t="shared" si="23"/>
        <v>54752.5</v>
      </c>
      <c r="H19" s="35">
        <f t="shared" si="23"/>
        <v>56752.5</v>
      </c>
      <c r="I19" s="35">
        <f t="shared" si="23"/>
        <v>65252.5</v>
      </c>
    </row>
    <row r="20" spans="1:15">
      <c r="A20" s="128" t="s">
        <v>13</v>
      </c>
      <c r="B20" s="128"/>
      <c r="C20" s="35">
        <f t="shared" ref="C20:I20" si="24">SUM(C8,C13,C18)</f>
        <v>240914.75</v>
      </c>
      <c r="D20" s="35">
        <f t="shared" si="24"/>
        <v>252314.75</v>
      </c>
      <c r="E20" s="35">
        <f t="shared" si="24"/>
        <v>263714.75</v>
      </c>
      <c r="F20" s="35">
        <f t="shared" si="24"/>
        <v>275114.75</v>
      </c>
      <c r="G20" s="35">
        <f t="shared" si="24"/>
        <v>289364.75</v>
      </c>
      <c r="H20" s="35">
        <f t="shared" si="24"/>
        <v>300764.75</v>
      </c>
      <c r="I20" s="35">
        <f t="shared" si="24"/>
        <v>350414.75</v>
      </c>
    </row>
    <row r="21" spans="1:15">
      <c r="A21" s="131" t="s">
        <v>14</v>
      </c>
      <c r="B21" s="131"/>
      <c r="C21" s="131"/>
      <c r="D21" s="131"/>
      <c r="E21" s="131"/>
      <c r="F21" s="131"/>
      <c r="G21" s="131"/>
      <c r="H21" s="131"/>
      <c r="I21" s="131"/>
    </row>
    <row r="22" spans="1:15" ht="28" customHeight="1">
      <c r="A22" s="132" t="s">
        <v>46</v>
      </c>
      <c r="B22" s="8" t="s">
        <v>15</v>
      </c>
      <c r="C22" s="1">
        <f>C5*0.75</f>
        <v>54075</v>
      </c>
      <c r="D22" s="1">
        <f t="shared" ref="D22:I22" si="25">C22</f>
        <v>54075</v>
      </c>
      <c r="E22" s="1">
        <f t="shared" si="25"/>
        <v>54075</v>
      </c>
      <c r="F22" s="1">
        <f t="shared" si="25"/>
        <v>54075</v>
      </c>
      <c r="G22" s="1">
        <f t="shared" si="25"/>
        <v>54075</v>
      </c>
      <c r="H22" s="1">
        <f t="shared" si="25"/>
        <v>54075</v>
      </c>
      <c r="I22" s="1">
        <f t="shared" si="25"/>
        <v>54075</v>
      </c>
    </row>
    <row r="23" spans="1:15">
      <c r="A23" s="133"/>
      <c r="B23" s="8" t="s">
        <v>11</v>
      </c>
      <c r="C23" s="1">
        <v>15000</v>
      </c>
      <c r="D23" s="1">
        <v>13000</v>
      </c>
      <c r="E23" s="1">
        <v>11000</v>
      </c>
      <c r="F23" s="1">
        <v>9000</v>
      </c>
      <c r="G23" s="1">
        <v>6500</v>
      </c>
      <c r="H23" s="1">
        <v>4500</v>
      </c>
      <c r="I23" s="1">
        <v>0</v>
      </c>
    </row>
    <row r="24" spans="1:15">
      <c r="A24" s="133"/>
      <c r="B24" s="30" t="s">
        <v>51</v>
      </c>
      <c r="C24" s="31">
        <f>((C22-C23)*0.95)*2</f>
        <v>74242.5</v>
      </c>
      <c r="D24" s="31">
        <f t="shared" ref="D24:I24" si="26">((D22-D23)*0.95)*2</f>
        <v>78042.5</v>
      </c>
      <c r="E24" s="31">
        <f t="shared" si="26"/>
        <v>81842.5</v>
      </c>
      <c r="F24" s="31">
        <f t="shared" si="26"/>
        <v>85642.5</v>
      </c>
      <c r="G24" s="31">
        <f t="shared" si="26"/>
        <v>90392.5</v>
      </c>
      <c r="H24" s="31">
        <f t="shared" si="26"/>
        <v>94192.5</v>
      </c>
      <c r="I24" s="31">
        <f t="shared" si="26"/>
        <v>102742.5</v>
      </c>
    </row>
    <row r="25" spans="1:15">
      <c r="A25" s="133"/>
      <c r="B25" s="21" t="s">
        <v>52</v>
      </c>
      <c r="C25" s="31">
        <f>(C22-C23)</f>
        <v>39075</v>
      </c>
      <c r="D25" s="31">
        <f t="shared" ref="D25:I25" si="27">(D22-D23)</f>
        <v>41075</v>
      </c>
      <c r="E25" s="31">
        <f t="shared" si="27"/>
        <v>43075</v>
      </c>
      <c r="F25" s="31">
        <f t="shared" si="27"/>
        <v>45075</v>
      </c>
      <c r="G25" s="31">
        <f t="shared" si="27"/>
        <v>47575</v>
      </c>
      <c r="H25" s="31">
        <f t="shared" si="27"/>
        <v>49575</v>
      </c>
      <c r="I25" s="31">
        <f t="shared" si="27"/>
        <v>54075</v>
      </c>
      <c r="J25" s="10"/>
      <c r="K25" s="10"/>
      <c r="L25" s="10"/>
      <c r="M25" s="10"/>
      <c r="N25" s="10"/>
      <c r="O25" s="10"/>
    </row>
    <row r="26" spans="1:15" ht="24" customHeight="1">
      <c r="A26" s="132" t="s">
        <v>47</v>
      </c>
      <c r="B26" s="8" t="s">
        <v>15</v>
      </c>
      <c r="C26" s="1">
        <f>C10*0.75</f>
        <v>55537.5</v>
      </c>
      <c r="D26" s="1">
        <f t="shared" ref="D26:I26" si="28">C26</f>
        <v>55537.5</v>
      </c>
      <c r="E26" s="1">
        <f t="shared" si="28"/>
        <v>55537.5</v>
      </c>
      <c r="F26" s="1">
        <f t="shared" si="28"/>
        <v>55537.5</v>
      </c>
      <c r="G26" s="1">
        <f t="shared" si="28"/>
        <v>55537.5</v>
      </c>
      <c r="H26" s="1">
        <f t="shared" si="28"/>
        <v>55537.5</v>
      </c>
      <c r="I26" s="1">
        <f t="shared" si="28"/>
        <v>55537.5</v>
      </c>
    </row>
    <row r="27" spans="1:15">
      <c r="A27" s="133"/>
      <c r="B27" s="8" t="s">
        <v>11</v>
      </c>
      <c r="C27" s="1">
        <f t="shared" ref="C27:I27" si="29">C23</f>
        <v>15000</v>
      </c>
      <c r="D27" s="1">
        <f t="shared" si="29"/>
        <v>13000</v>
      </c>
      <c r="E27" s="1">
        <f t="shared" si="29"/>
        <v>11000</v>
      </c>
      <c r="F27" s="1">
        <f t="shared" si="29"/>
        <v>9000</v>
      </c>
      <c r="G27" s="1">
        <f t="shared" si="29"/>
        <v>6500</v>
      </c>
      <c r="H27" s="1">
        <f t="shared" si="29"/>
        <v>4500</v>
      </c>
      <c r="I27" s="1">
        <f t="shared" si="29"/>
        <v>0</v>
      </c>
    </row>
    <row r="28" spans="1:15">
      <c r="A28" s="133"/>
      <c r="B28" s="32" t="s">
        <v>51</v>
      </c>
      <c r="C28" s="33">
        <f>((C26-C27)*0.95)*2</f>
        <v>77021.25</v>
      </c>
      <c r="D28" s="33">
        <f t="shared" ref="D28:I28" si="30">((D26-D27)*0.95)*2</f>
        <v>80821.25</v>
      </c>
      <c r="E28" s="33">
        <f t="shared" si="30"/>
        <v>84621.25</v>
      </c>
      <c r="F28" s="33">
        <f t="shared" si="30"/>
        <v>88421.25</v>
      </c>
      <c r="G28" s="33">
        <f t="shared" si="30"/>
        <v>93171.25</v>
      </c>
      <c r="H28" s="33">
        <f t="shared" si="30"/>
        <v>96971.25</v>
      </c>
      <c r="I28" s="33">
        <f t="shared" si="30"/>
        <v>105521.25</v>
      </c>
    </row>
    <row r="29" spans="1:15">
      <c r="A29" s="133"/>
      <c r="B29" s="22" t="s">
        <v>52</v>
      </c>
      <c r="C29" s="33">
        <f>(C26-C27)</f>
        <v>40537.5</v>
      </c>
      <c r="D29" s="33">
        <f t="shared" ref="D29:I29" si="31">(D26-D27)</f>
        <v>42537.5</v>
      </c>
      <c r="E29" s="33">
        <f t="shared" si="31"/>
        <v>44537.5</v>
      </c>
      <c r="F29" s="33">
        <f t="shared" si="31"/>
        <v>46537.5</v>
      </c>
      <c r="G29" s="33">
        <f t="shared" si="31"/>
        <v>49037.5</v>
      </c>
      <c r="H29" s="33">
        <f t="shared" si="31"/>
        <v>51037.5</v>
      </c>
      <c r="I29" s="33">
        <f t="shared" si="31"/>
        <v>55537.5</v>
      </c>
    </row>
    <row r="30" spans="1:15">
      <c r="A30" s="132" t="s">
        <v>48</v>
      </c>
      <c r="B30" s="8" t="s">
        <v>15</v>
      </c>
      <c r="C30" s="1">
        <f>C26*1.05</f>
        <v>58314.375</v>
      </c>
      <c r="D30" s="1">
        <f t="shared" ref="D30:I30" si="32">C30</f>
        <v>58314.375</v>
      </c>
      <c r="E30" s="1">
        <f t="shared" si="32"/>
        <v>58314.375</v>
      </c>
      <c r="F30" s="1">
        <f t="shared" si="32"/>
        <v>58314.375</v>
      </c>
      <c r="G30" s="1">
        <f t="shared" si="32"/>
        <v>58314.375</v>
      </c>
      <c r="H30" s="1">
        <f t="shared" si="32"/>
        <v>58314.375</v>
      </c>
      <c r="I30" s="1">
        <f t="shared" si="32"/>
        <v>58314.375</v>
      </c>
    </row>
    <row r="31" spans="1:15">
      <c r="A31" s="133"/>
      <c r="B31" s="8" t="s">
        <v>11</v>
      </c>
      <c r="C31" s="1">
        <f t="shared" ref="C31:I31" si="33">C27</f>
        <v>15000</v>
      </c>
      <c r="D31" s="1">
        <f t="shared" si="33"/>
        <v>13000</v>
      </c>
      <c r="E31" s="1">
        <f t="shared" si="33"/>
        <v>11000</v>
      </c>
      <c r="F31" s="1">
        <f t="shared" si="33"/>
        <v>9000</v>
      </c>
      <c r="G31" s="1">
        <f t="shared" si="33"/>
        <v>6500</v>
      </c>
      <c r="H31" s="1">
        <f t="shared" si="33"/>
        <v>4500</v>
      </c>
      <c r="I31" s="1">
        <f t="shared" si="33"/>
        <v>0</v>
      </c>
    </row>
    <row r="32" spans="1:15">
      <c r="A32" s="133"/>
      <c r="B32" s="34" t="s">
        <v>51</v>
      </c>
      <c r="C32" s="35">
        <f>((C30-C31)*0.95)*2</f>
        <v>82297.3125</v>
      </c>
      <c r="D32" s="35">
        <f t="shared" ref="D32:I32" si="34">((D30-D31)*0.95)*2</f>
        <v>86097.3125</v>
      </c>
      <c r="E32" s="35">
        <f t="shared" si="34"/>
        <v>89897.3125</v>
      </c>
      <c r="F32" s="35">
        <f t="shared" si="34"/>
        <v>93697.3125</v>
      </c>
      <c r="G32" s="35">
        <f t="shared" si="34"/>
        <v>98447.3125</v>
      </c>
      <c r="H32" s="35">
        <f t="shared" si="34"/>
        <v>102247.3125</v>
      </c>
      <c r="I32" s="35">
        <f t="shared" si="34"/>
        <v>110797.3125</v>
      </c>
    </row>
    <row r="33" spans="1:9">
      <c r="A33" s="133"/>
      <c r="B33" s="23" t="s">
        <v>52</v>
      </c>
      <c r="C33" s="35">
        <f>(C30-C31)</f>
        <v>43314.375</v>
      </c>
      <c r="D33" s="35">
        <f t="shared" ref="D33:I33" si="35">(D30-D31)</f>
        <v>45314.375</v>
      </c>
      <c r="E33" s="35">
        <f t="shared" si="35"/>
        <v>47314.375</v>
      </c>
      <c r="F33" s="35">
        <f t="shared" si="35"/>
        <v>49314.375</v>
      </c>
      <c r="G33" s="35">
        <f t="shared" si="35"/>
        <v>51814.375</v>
      </c>
      <c r="H33" s="35">
        <f t="shared" si="35"/>
        <v>53814.375</v>
      </c>
      <c r="I33" s="35">
        <f t="shared" si="35"/>
        <v>58314.375</v>
      </c>
    </row>
    <row r="34" spans="1:9">
      <c r="A34" s="128" t="s">
        <v>13</v>
      </c>
      <c r="B34" s="128"/>
      <c r="C34" s="35">
        <f t="shared" ref="C34:I34" si="36">SUM(C24,C28,C32)</f>
        <v>233561.0625</v>
      </c>
      <c r="D34" s="35">
        <f t="shared" si="36"/>
        <v>244961.0625</v>
      </c>
      <c r="E34" s="35">
        <f t="shared" si="36"/>
        <v>256361.0625</v>
      </c>
      <c r="F34" s="35">
        <f t="shared" si="36"/>
        <v>267761.0625</v>
      </c>
      <c r="G34" s="35">
        <f t="shared" si="36"/>
        <v>282011.0625</v>
      </c>
      <c r="H34" s="35">
        <f t="shared" si="36"/>
        <v>293411.0625</v>
      </c>
      <c r="I34" s="35">
        <f t="shared" si="36"/>
        <v>319061.0625</v>
      </c>
    </row>
    <row r="35" spans="1:9" ht="16" customHeight="1">
      <c r="A35" s="105" t="s">
        <v>16</v>
      </c>
      <c r="B35" s="105"/>
      <c r="C35" s="105"/>
      <c r="D35" s="105"/>
      <c r="E35" s="105"/>
      <c r="F35" s="105"/>
      <c r="G35" s="105"/>
      <c r="H35" s="105"/>
      <c r="I35" s="105"/>
    </row>
    <row r="36" spans="1:9" ht="4" customHeight="1">
      <c r="A36" s="105"/>
      <c r="B36" s="105"/>
      <c r="C36" s="105"/>
      <c r="D36" s="105"/>
      <c r="E36" s="105"/>
      <c r="F36" s="105"/>
      <c r="G36" s="105"/>
      <c r="H36" s="105"/>
      <c r="I36" s="105"/>
    </row>
    <row r="37" spans="1:9" ht="2.0499999999999998" customHeight="1">
      <c r="A37" s="105"/>
      <c r="B37" s="105"/>
      <c r="C37" s="105"/>
      <c r="D37" s="105"/>
      <c r="E37" s="105"/>
      <c r="F37" s="105"/>
      <c r="G37" s="105"/>
      <c r="H37" s="105"/>
      <c r="I37" s="105"/>
    </row>
    <row r="38" spans="1:9">
      <c r="A38" s="121" t="s">
        <v>17</v>
      </c>
      <c r="B38" s="122"/>
      <c r="C38" s="118" t="s">
        <v>18</v>
      </c>
      <c r="D38" s="118"/>
      <c r="E38" s="2">
        <v>5000</v>
      </c>
      <c r="F38" s="3"/>
      <c r="G38" s="4"/>
    </row>
    <row r="39" spans="1:9">
      <c r="A39" s="123"/>
      <c r="B39" s="124"/>
      <c r="C39" s="119" t="s">
        <v>19</v>
      </c>
      <c r="D39" s="119"/>
      <c r="E39" s="5">
        <v>3000</v>
      </c>
      <c r="F39" s="3"/>
      <c r="G39" s="4"/>
    </row>
    <row r="40" spans="1:9" ht="16.3" thickBot="1">
      <c r="A40" s="125"/>
      <c r="B40" s="126"/>
      <c r="C40" s="120" t="s">
        <v>20</v>
      </c>
      <c r="D40" s="120"/>
      <c r="E40" s="11">
        <v>3000</v>
      </c>
      <c r="F40" s="6"/>
      <c r="G40" s="7"/>
    </row>
    <row r="41" spans="1:9">
      <c r="A41" s="127" t="s">
        <v>82</v>
      </c>
      <c r="B41" s="127"/>
      <c r="C41" s="128" t="s">
        <v>30</v>
      </c>
      <c r="D41" s="128"/>
      <c r="E41" s="8">
        <v>18500</v>
      </c>
      <c r="F41" s="115"/>
      <c r="G41" s="115"/>
      <c r="H41" s="115"/>
      <c r="I41" s="129"/>
    </row>
    <row r="42" spans="1:9">
      <c r="A42" s="127"/>
      <c r="B42" s="127"/>
      <c r="C42" s="128" t="s">
        <v>31</v>
      </c>
      <c r="D42" s="128"/>
      <c r="E42" s="8">
        <v>9750</v>
      </c>
      <c r="F42" s="117"/>
      <c r="G42" s="117"/>
      <c r="H42" s="117"/>
      <c r="I42" s="130"/>
    </row>
    <row r="43" spans="1:9" ht="23.15">
      <c r="A43" s="12" t="s">
        <v>21</v>
      </c>
      <c r="B43" s="12" t="s">
        <v>22</v>
      </c>
      <c r="C43" s="13" t="s">
        <v>23</v>
      </c>
      <c r="D43" s="13" t="s">
        <v>24</v>
      </c>
      <c r="E43" s="13" t="s">
        <v>25</v>
      </c>
      <c r="F43" s="13" t="s">
        <v>26</v>
      </c>
      <c r="G43" s="12" t="s">
        <v>27</v>
      </c>
      <c r="H43" s="12" t="s">
        <v>28</v>
      </c>
      <c r="I43" s="12" t="s">
        <v>29</v>
      </c>
    </row>
    <row r="44" spans="1:9">
      <c r="A44" s="9" t="s">
        <v>30</v>
      </c>
      <c r="B44" s="5">
        <f>B45*2</f>
        <v>7000</v>
      </c>
      <c r="C44" s="5">
        <f t="shared" ref="C44:H44" si="37">C45*2</f>
        <v>5000</v>
      </c>
      <c r="D44" s="5">
        <v>1000</v>
      </c>
      <c r="E44" s="5">
        <f t="shared" si="37"/>
        <v>1500</v>
      </c>
      <c r="F44" s="5">
        <f t="shared" si="37"/>
        <v>1000</v>
      </c>
      <c r="G44" s="5">
        <f t="shared" si="37"/>
        <v>1000</v>
      </c>
      <c r="H44" s="5">
        <f t="shared" si="37"/>
        <v>2000</v>
      </c>
      <c r="I44" s="5">
        <f>SUM(B44:H44)</f>
        <v>18500</v>
      </c>
    </row>
    <row r="45" spans="1:9">
      <c r="A45" s="9" t="s">
        <v>31</v>
      </c>
      <c r="B45" s="5">
        <v>3500</v>
      </c>
      <c r="C45" s="5">
        <v>2500</v>
      </c>
      <c r="D45" s="14">
        <v>1000</v>
      </c>
      <c r="E45" s="14">
        <v>750</v>
      </c>
      <c r="F45" s="14">
        <v>500</v>
      </c>
      <c r="G45" s="5">
        <v>500</v>
      </c>
      <c r="H45" s="5">
        <v>1000</v>
      </c>
      <c r="I45" s="5">
        <f>SUM(B45:H45)</f>
        <v>9750</v>
      </c>
    </row>
    <row r="46" spans="1:9" ht="16" customHeight="1">
      <c r="A46" s="152" t="s">
        <v>43</v>
      </c>
      <c r="B46" s="152"/>
      <c r="C46" s="152"/>
      <c r="D46" s="152"/>
      <c r="E46" s="152"/>
      <c r="F46" s="152"/>
      <c r="G46" s="152"/>
      <c r="H46" s="152"/>
      <c r="I46" s="152"/>
    </row>
    <row r="47" spans="1:9" ht="16" customHeight="1">
      <c r="A47" s="152" t="s">
        <v>44</v>
      </c>
      <c r="B47" s="152"/>
      <c r="C47" s="152"/>
      <c r="D47" s="152"/>
      <c r="E47" s="152"/>
      <c r="F47" s="152"/>
      <c r="G47" s="152"/>
      <c r="H47" s="152"/>
      <c r="I47" s="152"/>
    </row>
    <row r="48" spans="1:9">
      <c r="A48" s="104" t="s">
        <v>54</v>
      </c>
      <c r="B48" s="104"/>
      <c r="C48" s="104"/>
      <c r="D48" s="104"/>
      <c r="E48" s="104"/>
      <c r="F48" s="104"/>
      <c r="G48" s="104"/>
      <c r="H48" s="104"/>
      <c r="I48" s="104"/>
    </row>
    <row r="49" spans="1:9">
      <c r="A49" s="104" t="s">
        <v>55</v>
      </c>
      <c r="B49" s="104"/>
      <c r="C49" s="104"/>
      <c r="D49" s="104"/>
      <c r="E49" s="104"/>
      <c r="F49" s="104"/>
      <c r="G49" s="104"/>
      <c r="H49" s="104"/>
      <c r="I49" s="104"/>
    </row>
    <row r="50" spans="1:9" ht="39" customHeight="1">
      <c r="A50" s="152" t="s">
        <v>56</v>
      </c>
      <c r="B50" s="152"/>
      <c r="C50" s="152"/>
      <c r="D50" s="152"/>
      <c r="E50" s="152"/>
      <c r="F50" s="152"/>
      <c r="G50" s="152"/>
      <c r="H50" s="152"/>
      <c r="I50" s="152"/>
    </row>
    <row r="51" spans="1:9">
      <c r="A51" s="104" t="s">
        <v>32</v>
      </c>
      <c r="B51" s="104"/>
      <c r="C51" s="104"/>
      <c r="D51" s="104"/>
      <c r="E51" s="104"/>
      <c r="F51" s="104"/>
      <c r="G51" s="104"/>
      <c r="H51" s="104"/>
      <c r="I51" s="104"/>
    </row>
    <row r="52" spans="1:9">
      <c r="A52" s="149" t="s">
        <v>87</v>
      </c>
      <c r="B52" s="150"/>
      <c r="C52" s="150"/>
      <c r="D52" s="150"/>
      <c r="E52" s="150"/>
      <c r="F52" s="150"/>
      <c r="G52" s="150"/>
      <c r="H52" s="150"/>
      <c r="I52" s="151"/>
    </row>
    <row r="53" spans="1:9">
      <c r="A53" s="104" t="s">
        <v>9</v>
      </c>
      <c r="B53" s="104"/>
      <c r="C53" s="104"/>
      <c r="D53" s="104"/>
      <c r="E53" s="104"/>
      <c r="F53" s="104"/>
      <c r="G53" s="104"/>
      <c r="H53" s="104"/>
      <c r="I53" s="104"/>
    </row>
  </sheetData>
  <mergeCells count="29">
    <mergeCell ref="A34:B34"/>
    <mergeCell ref="C42:D42"/>
    <mergeCell ref="C38:D38"/>
    <mergeCell ref="A21:I21"/>
    <mergeCell ref="A2:I2"/>
    <mergeCell ref="A22:A25"/>
    <mergeCell ref="A26:A29"/>
    <mergeCell ref="A30:A33"/>
    <mergeCell ref="A1:I1"/>
    <mergeCell ref="A5:A9"/>
    <mergeCell ref="A10:A14"/>
    <mergeCell ref="A15:A19"/>
    <mergeCell ref="A20:B20"/>
    <mergeCell ref="A53:I53"/>
    <mergeCell ref="A4:I4"/>
    <mergeCell ref="A35:I37"/>
    <mergeCell ref="A52:I52"/>
    <mergeCell ref="A51:I51"/>
    <mergeCell ref="A47:I47"/>
    <mergeCell ref="A48:I48"/>
    <mergeCell ref="A49:I49"/>
    <mergeCell ref="A50:I50"/>
    <mergeCell ref="A38:B40"/>
    <mergeCell ref="C39:D39"/>
    <mergeCell ref="C40:D40"/>
    <mergeCell ref="A46:I46"/>
    <mergeCell ref="A41:B42"/>
    <mergeCell ref="C41:D41"/>
    <mergeCell ref="F41:I42"/>
  </mergeCells>
  <pageMargins left="0.7" right="0.7" top="0.75" bottom="0.75" header="0.3" footer="0.3"/>
  <pageSetup paperSize="9" scale="4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BC3D-BB23-C04F-AFC3-6C6A7206A8E5}">
  <dimension ref="A1:Q51"/>
  <sheetViews>
    <sheetView zoomScale="45" workbookViewId="0">
      <selection activeCell="A2" sqref="A2:I2"/>
    </sheetView>
  </sheetViews>
  <sheetFormatPr defaultColWidth="8.85546875" defaultRowHeight="15.9"/>
  <cols>
    <col min="1" max="1" width="19.5" customWidth="1"/>
    <col min="2" max="2" width="23" bestFit="1" customWidth="1"/>
    <col min="3" max="3" width="61.1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9" width="16.640625" customWidth="1"/>
  </cols>
  <sheetData>
    <row r="1" spans="1:17">
      <c r="A1" s="145" t="s">
        <v>110</v>
      </c>
      <c r="B1" s="146"/>
      <c r="C1" s="146"/>
      <c r="D1" s="146"/>
      <c r="E1" s="146"/>
      <c r="F1" s="146"/>
      <c r="G1" s="146"/>
      <c r="H1" s="146"/>
      <c r="I1" s="146"/>
    </row>
    <row r="2" spans="1:17" ht="75" customHeight="1">
      <c r="A2" s="145" t="s">
        <v>111</v>
      </c>
      <c r="B2" s="146"/>
      <c r="C2" s="146"/>
      <c r="D2" s="146"/>
      <c r="E2" s="146"/>
      <c r="F2" s="146"/>
      <c r="G2" s="146"/>
      <c r="H2" s="146"/>
      <c r="I2" s="146"/>
    </row>
    <row r="3" spans="1:17" ht="85.3" customHeight="1">
      <c r="A3" s="44" t="s">
        <v>1</v>
      </c>
      <c r="B3" s="45" t="s">
        <v>2</v>
      </c>
      <c r="C3" s="44" t="s">
        <v>37</v>
      </c>
      <c r="D3" s="44" t="s">
        <v>38</v>
      </c>
      <c r="E3" s="44" t="s">
        <v>39</v>
      </c>
      <c r="F3" s="44" t="s">
        <v>40</v>
      </c>
      <c r="G3" s="44" t="s">
        <v>41</v>
      </c>
      <c r="H3" s="44" t="s">
        <v>42</v>
      </c>
      <c r="I3" s="44" t="s">
        <v>78</v>
      </c>
    </row>
    <row r="4" spans="1:17" ht="85.3" customHeight="1">
      <c r="A4" s="155" t="s">
        <v>0</v>
      </c>
      <c r="B4" s="156"/>
      <c r="C4" s="156"/>
      <c r="D4" s="156"/>
      <c r="E4" s="156"/>
      <c r="F4" s="156"/>
      <c r="G4" s="156"/>
      <c r="H4" s="156"/>
      <c r="I4" s="157"/>
    </row>
    <row r="5" spans="1:17" ht="28.75" customHeight="1">
      <c r="A5" s="161" t="s">
        <v>66</v>
      </c>
      <c r="B5" s="46" t="s">
        <v>10</v>
      </c>
      <c r="C5" s="47">
        <v>59600</v>
      </c>
      <c r="D5" s="47">
        <f>C5</f>
        <v>59600</v>
      </c>
      <c r="E5" s="47">
        <f t="shared" ref="E5:I5" si="0">D5</f>
        <v>59600</v>
      </c>
      <c r="F5" s="47">
        <f t="shared" si="0"/>
        <v>59600</v>
      </c>
      <c r="G5" s="47">
        <f t="shared" si="0"/>
        <v>59600</v>
      </c>
      <c r="H5" s="47">
        <f t="shared" si="0"/>
        <v>59600</v>
      </c>
      <c r="I5" s="47">
        <f t="shared" si="0"/>
        <v>59600</v>
      </c>
    </row>
    <row r="6" spans="1:17" ht="28.75" customHeight="1">
      <c r="A6" s="162"/>
      <c r="B6" s="46" t="s">
        <v>11</v>
      </c>
      <c r="C6" s="47">
        <v>13500</v>
      </c>
      <c r="D6" s="47">
        <v>11500</v>
      </c>
      <c r="E6" s="47">
        <v>9500</v>
      </c>
      <c r="F6" s="47">
        <v>8500</v>
      </c>
      <c r="G6" s="47">
        <v>7500</v>
      </c>
      <c r="H6" s="47">
        <v>6500</v>
      </c>
      <c r="I6" s="47">
        <v>5500</v>
      </c>
    </row>
    <row r="7" spans="1:17" ht="28.75" customHeight="1">
      <c r="A7" s="162"/>
      <c r="B7" s="48" t="s">
        <v>67</v>
      </c>
      <c r="C7" s="49">
        <v>7000</v>
      </c>
      <c r="D7" s="49">
        <f>C7</f>
        <v>7000</v>
      </c>
      <c r="E7" s="49">
        <f t="shared" ref="E7:H7" si="1">D7</f>
        <v>7000</v>
      </c>
      <c r="F7" s="49">
        <f t="shared" si="1"/>
        <v>7000</v>
      </c>
      <c r="G7" s="49">
        <f t="shared" si="1"/>
        <v>7000</v>
      </c>
      <c r="H7" s="49">
        <f t="shared" si="1"/>
        <v>7000</v>
      </c>
      <c r="I7" s="49">
        <v>5000</v>
      </c>
    </row>
    <row r="8" spans="1:17" ht="28.75" customHeight="1">
      <c r="A8" s="162"/>
      <c r="B8" s="50" t="s">
        <v>51</v>
      </c>
      <c r="C8" s="49">
        <f>(((C5-C6)*0.95)*2)-C7*2</f>
        <v>73590</v>
      </c>
      <c r="D8" s="49">
        <f t="shared" ref="D8:I8" si="2">(((D5-D6)*0.95)*2)-D7*2</f>
        <v>77390</v>
      </c>
      <c r="E8" s="49">
        <f t="shared" si="2"/>
        <v>81190</v>
      </c>
      <c r="F8" s="49">
        <f t="shared" si="2"/>
        <v>83090</v>
      </c>
      <c r="G8" s="49">
        <f t="shared" si="2"/>
        <v>84990</v>
      </c>
      <c r="H8" s="49">
        <f t="shared" si="2"/>
        <v>86890</v>
      </c>
      <c r="I8" s="49">
        <f t="shared" si="2"/>
        <v>92790</v>
      </c>
      <c r="J8" s="159"/>
      <c r="K8" s="158"/>
      <c r="L8" s="158"/>
      <c r="M8" s="158"/>
      <c r="N8" s="158"/>
      <c r="O8" s="158"/>
      <c r="P8" s="158"/>
      <c r="Q8" s="158"/>
    </row>
    <row r="9" spans="1:17" ht="28.75" customHeight="1">
      <c r="A9" s="162"/>
      <c r="B9" s="50" t="s">
        <v>52</v>
      </c>
      <c r="C9" s="49">
        <f>(C5-C6)-C7</f>
        <v>39100</v>
      </c>
      <c r="D9" s="49">
        <f t="shared" ref="D9:I9" si="3">(D5-D6)-D7</f>
        <v>41100</v>
      </c>
      <c r="E9" s="49">
        <f t="shared" si="3"/>
        <v>43100</v>
      </c>
      <c r="F9" s="49">
        <f t="shared" si="3"/>
        <v>44100</v>
      </c>
      <c r="G9" s="49">
        <f t="shared" si="3"/>
        <v>45100</v>
      </c>
      <c r="H9" s="49">
        <f t="shared" si="3"/>
        <v>46100</v>
      </c>
      <c r="I9" s="49">
        <f t="shared" si="3"/>
        <v>49100</v>
      </c>
      <c r="J9" s="159"/>
      <c r="K9" s="158"/>
      <c r="L9" s="158"/>
      <c r="M9" s="158"/>
      <c r="N9" s="158"/>
      <c r="O9" s="158"/>
      <c r="P9" s="158"/>
      <c r="Q9" s="158"/>
    </row>
    <row r="10" spans="1:17" ht="28.75" customHeight="1">
      <c r="A10" s="161" t="s">
        <v>68</v>
      </c>
      <c r="B10" s="46" t="s">
        <v>12</v>
      </c>
      <c r="C10" s="47">
        <v>60925</v>
      </c>
      <c r="D10" s="47">
        <f t="shared" ref="D10:I10" si="4">C10</f>
        <v>60925</v>
      </c>
      <c r="E10" s="47">
        <f t="shared" si="4"/>
        <v>60925</v>
      </c>
      <c r="F10" s="47">
        <f t="shared" si="4"/>
        <v>60925</v>
      </c>
      <c r="G10" s="47">
        <f t="shared" si="4"/>
        <v>60925</v>
      </c>
      <c r="H10" s="47">
        <f t="shared" si="4"/>
        <v>60925</v>
      </c>
      <c r="I10" s="47">
        <f t="shared" si="4"/>
        <v>60925</v>
      </c>
    </row>
    <row r="11" spans="1:17" ht="28.75" customHeight="1">
      <c r="A11" s="162"/>
      <c r="B11" s="46" t="s">
        <v>11</v>
      </c>
      <c r="C11" s="47">
        <f t="shared" ref="C11:I11" si="5">C6</f>
        <v>13500</v>
      </c>
      <c r="D11" s="47">
        <f t="shared" si="5"/>
        <v>11500</v>
      </c>
      <c r="E11" s="47">
        <f t="shared" si="5"/>
        <v>9500</v>
      </c>
      <c r="F11" s="47">
        <f t="shared" si="5"/>
        <v>8500</v>
      </c>
      <c r="G11" s="47">
        <f t="shared" si="5"/>
        <v>7500</v>
      </c>
      <c r="H11" s="47">
        <f t="shared" si="5"/>
        <v>6500</v>
      </c>
      <c r="I11" s="47">
        <f t="shared" si="5"/>
        <v>5500</v>
      </c>
    </row>
    <row r="12" spans="1:17" ht="28.75" customHeight="1">
      <c r="A12" s="162"/>
      <c r="B12" s="51" t="s">
        <v>67</v>
      </c>
      <c r="C12" s="52">
        <f>C7</f>
        <v>7000</v>
      </c>
      <c r="D12" s="52">
        <f>C12</f>
        <v>7000</v>
      </c>
      <c r="E12" s="52">
        <f t="shared" ref="E12:H12" si="6">D12</f>
        <v>7000</v>
      </c>
      <c r="F12" s="52">
        <f t="shared" si="6"/>
        <v>7000</v>
      </c>
      <c r="G12" s="52">
        <f t="shared" si="6"/>
        <v>7000</v>
      </c>
      <c r="H12" s="52">
        <f t="shared" si="6"/>
        <v>7000</v>
      </c>
      <c r="I12" s="52">
        <f>I7</f>
        <v>5000</v>
      </c>
    </row>
    <row r="13" spans="1:17" ht="28.75" customHeight="1">
      <c r="A13" s="162"/>
      <c r="B13" s="53" t="s">
        <v>51</v>
      </c>
      <c r="C13" s="52">
        <f>(((C10-C11)*0.95)*2)-C12*2</f>
        <v>76107.5</v>
      </c>
      <c r="D13" s="52">
        <f t="shared" ref="D13:I13" si="7">(((D10-D11)*0.95)*2)-D12*2</f>
        <v>79907.5</v>
      </c>
      <c r="E13" s="52">
        <f t="shared" si="7"/>
        <v>83707.5</v>
      </c>
      <c r="F13" s="52">
        <f t="shared" si="7"/>
        <v>85607.5</v>
      </c>
      <c r="G13" s="52">
        <f t="shared" si="7"/>
        <v>87507.5</v>
      </c>
      <c r="H13" s="52">
        <f t="shared" si="7"/>
        <v>89407.5</v>
      </c>
      <c r="I13" s="52">
        <f t="shared" si="7"/>
        <v>95307.5</v>
      </c>
    </row>
    <row r="14" spans="1:17" ht="28.75" customHeight="1">
      <c r="A14" s="162"/>
      <c r="B14" s="53" t="s">
        <v>52</v>
      </c>
      <c r="C14" s="52">
        <f>(C10-C11)-C12</f>
        <v>40425</v>
      </c>
      <c r="D14" s="52">
        <f t="shared" ref="D14:I14" si="8">(D10-D11)-D12</f>
        <v>42425</v>
      </c>
      <c r="E14" s="52">
        <f t="shared" si="8"/>
        <v>44425</v>
      </c>
      <c r="F14" s="52">
        <f t="shared" si="8"/>
        <v>45425</v>
      </c>
      <c r="G14" s="52">
        <f t="shared" si="8"/>
        <v>46425</v>
      </c>
      <c r="H14" s="52">
        <f t="shared" si="8"/>
        <v>47425</v>
      </c>
      <c r="I14" s="52">
        <f t="shared" si="8"/>
        <v>50425</v>
      </c>
    </row>
    <row r="15" spans="1:17" ht="28.75" customHeight="1">
      <c r="A15" s="161" t="s">
        <v>69</v>
      </c>
      <c r="B15" s="46" t="s">
        <v>12</v>
      </c>
      <c r="C15" s="47">
        <f>C10*1.05</f>
        <v>63971.25</v>
      </c>
      <c r="D15" s="47">
        <f t="shared" ref="D15:I15" si="9">C15</f>
        <v>63971.25</v>
      </c>
      <c r="E15" s="47">
        <f t="shared" si="9"/>
        <v>63971.25</v>
      </c>
      <c r="F15" s="47">
        <f t="shared" si="9"/>
        <v>63971.25</v>
      </c>
      <c r="G15" s="47">
        <f t="shared" si="9"/>
        <v>63971.25</v>
      </c>
      <c r="H15" s="47">
        <f t="shared" si="9"/>
        <v>63971.25</v>
      </c>
      <c r="I15" s="47">
        <f t="shared" si="9"/>
        <v>63971.25</v>
      </c>
    </row>
    <row r="16" spans="1:17" ht="28.75" customHeight="1">
      <c r="A16" s="162"/>
      <c r="B16" s="46" t="s">
        <v>11</v>
      </c>
      <c r="C16" s="47">
        <f t="shared" ref="C16:I16" si="10">C11</f>
        <v>13500</v>
      </c>
      <c r="D16" s="47">
        <f t="shared" si="10"/>
        <v>11500</v>
      </c>
      <c r="E16" s="47">
        <f t="shared" si="10"/>
        <v>9500</v>
      </c>
      <c r="F16" s="47">
        <f t="shared" si="10"/>
        <v>8500</v>
      </c>
      <c r="G16" s="47">
        <f t="shared" si="10"/>
        <v>7500</v>
      </c>
      <c r="H16" s="47">
        <f t="shared" si="10"/>
        <v>6500</v>
      </c>
      <c r="I16" s="47">
        <f t="shared" si="10"/>
        <v>5500</v>
      </c>
    </row>
    <row r="17" spans="1:15" ht="28.75" customHeight="1">
      <c r="A17" s="162"/>
      <c r="B17" s="54" t="s">
        <v>67</v>
      </c>
      <c r="C17" s="55">
        <f>C12</f>
        <v>7000</v>
      </c>
      <c r="D17" s="55">
        <f>C17</f>
        <v>7000</v>
      </c>
      <c r="E17" s="55">
        <f t="shared" ref="E17:H17" si="11">D17</f>
        <v>7000</v>
      </c>
      <c r="F17" s="55">
        <f t="shared" si="11"/>
        <v>7000</v>
      </c>
      <c r="G17" s="55">
        <f t="shared" si="11"/>
        <v>7000</v>
      </c>
      <c r="H17" s="55">
        <f t="shared" si="11"/>
        <v>7000</v>
      </c>
      <c r="I17" s="55">
        <f>I7</f>
        <v>5000</v>
      </c>
    </row>
    <row r="18" spans="1:15" ht="28.75" customHeight="1">
      <c r="A18" s="162"/>
      <c r="B18" s="56" t="s">
        <v>51</v>
      </c>
      <c r="C18" s="55">
        <f>(((C15-C16)*0.95)*2)-C17*2</f>
        <v>81895.375</v>
      </c>
      <c r="D18" s="55">
        <f t="shared" ref="D18:I18" si="12">(((D15-D16)*0.95)*2)-D17*2</f>
        <v>85695.375</v>
      </c>
      <c r="E18" s="55">
        <f t="shared" si="12"/>
        <v>89495.375</v>
      </c>
      <c r="F18" s="55">
        <f t="shared" si="12"/>
        <v>91395.375</v>
      </c>
      <c r="G18" s="55">
        <f t="shared" si="12"/>
        <v>93295.375</v>
      </c>
      <c r="H18" s="55">
        <f t="shared" si="12"/>
        <v>95195.375</v>
      </c>
      <c r="I18" s="55">
        <f t="shared" si="12"/>
        <v>101095.375</v>
      </c>
    </row>
    <row r="19" spans="1:15" ht="28.75" customHeight="1">
      <c r="A19" s="162"/>
      <c r="B19" s="56" t="s">
        <v>52</v>
      </c>
      <c r="C19" s="55">
        <f>(C15-C16)-C17</f>
        <v>43471.25</v>
      </c>
      <c r="D19" s="55">
        <f t="shared" ref="D19:I19" si="13">(D15-D16)-D17</f>
        <v>45471.25</v>
      </c>
      <c r="E19" s="55">
        <f t="shared" si="13"/>
        <v>47471.25</v>
      </c>
      <c r="F19" s="55">
        <f t="shared" si="13"/>
        <v>48471.25</v>
      </c>
      <c r="G19" s="55">
        <f t="shared" si="13"/>
        <v>49471.25</v>
      </c>
      <c r="H19" s="55">
        <f t="shared" si="13"/>
        <v>50471.25</v>
      </c>
      <c r="I19" s="55">
        <f t="shared" si="13"/>
        <v>53471.25</v>
      </c>
    </row>
    <row r="20" spans="1:15" ht="28.75" customHeight="1">
      <c r="A20" s="163" t="s">
        <v>13</v>
      </c>
      <c r="B20" s="163"/>
      <c r="C20" s="55">
        <f t="shared" ref="C20:I20" si="14">SUM(C8,C13,C18)</f>
        <v>231592.875</v>
      </c>
      <c r="D20" s="55">
        <f t="shared" si="14"/>
        <v>242992.875</v>
      </c>
      <c r="E20" s="55">
        <f t="shared" si="14"/>
        <v>254392.875</v>
      </c>
      <c r="F20" s="55">
        <f t="shared" si="14"/>
        <v>260092.875</v>
      </c>
      <c r="G20" s="55">
        <f t="shared" si="14"/>
        <v>265792.875</v>
      </c>
      <c r="H20" s="55">
        <f t="shared" si="14"/>
        <v>271492.875</v>
      </c>
      <c r="I20" s="55">
        <f t="shared" si="14"/>
        <v>289192.875</v>
      </c>
    </row>
    <row r="21" spans="1:15" ht="18.45">
      <c r="A21" s="171" t="s">
        <v>14</v>
      </c>
      <c r="B21" s="172"/>
      <c r="C21" s="172"/>
      <c r="D21" s="172"/>
      <c r="E21" s="172"/>
      <c r="F21" s="172"/>
      <c r="G21" s="172"/>
      <c r="H21" s="172"/>
      <c r="I21" s="172"/>
    </row>
    <row r="22" spans="1:15" ht="32.5" customHeight="1">
      <c r="A22" s="161" t="s">
        <v>66</v>
      </c>
      <c r="B22" s="46" t="s">
        <v>70</v>
      </c>
      <c r="C22" s="47">
        <f>C5*0.75</f>
        <v>44700</v>
      </c>
      <c r="D22" s="47">
        <f t="shared" ref="D22:I22" si="15">C22</f>
        <v>44700</v>
      </c>
      <c r="E22" s="47">
        <f t="shared" si="15"/>
        <v>44700</v>
      </c>
      <c r="F22" s="47">
        <f t="shared" si="15"/>
        <v>44700</v>
      </c>
      <c r="G22" s="47">
        <f t="shared" si="15"/>
        <v>44700</v>
      </c>
      <c r="H22" s="47">
        <f t="shared" si="15"/>
        <v>44700</v>
      </c>
      <c r="I22" s="47">
        <f t="shared" si="15"/>
        <v>44700</v>
      </c>
    </row>
    <row r="23" spans="1:15" ht="32.5" customHeight="1">
      <c r="A23" s="162"/>
      <c r="B23" s="46" t="s">
        <v>11</v>
      </c>
      <c r="C23" s="47">
        <v>13500</v>
      </c>
      <c r="D23" s="47">
        <v>11500</v>
      </c>
      <c r="E23" s="47">
        <v>9500</v>
      </c>
      <c r="F23" s="47">
        <v>8500</v>
      </c>
      <c r="G23" s="47">
        <v>7500</v>
      </c>
      <c r="H23" s="47">
        <v>6500</v>
      </c>
      <c r="I23" s="47">
        <v>5500</v>
      </c>
    </row>
    <row r="24" spans="1:15" ht="32.5" customHeight="1">
      <c r="A24" s="162"/>
      <c r="B24" s="48" t="s">
        <v>51</v>
      </c>
      <c r="C24" s="49">
        <f>((C22-C23)*0.95)*2</f>
        <v>59280</v>
      </c>
      <c r="D24" s="49">
        <f t="shared" ref="D24:I24" si="16">((D22-D23)*0.95)*2</f>
        <v>63080</v>
      </c>
      <c r="E24" s="49">
        <f t="shared" si="16"/>
        <v>66880</v>
      </c>
      <c r="F24" s="49">
        <f t="shared" si="16"/>
        <v>68780</v>
      </c>
      <c r="G24" s="49">
        <f t="shared" si="16"/>
        <v>70680</v>
      </c>
      <c r="H24" s="49">
        <f t="shared" si="16"/>
        <v>72580</v>
      </c>
      <c r="I24" s="49">
        <f t="shared" si="16"/>
        <v>74480</v>
      </c>
      <c r="J24" s="10"/>
      <c r="K24" s="10"/>
      <c r="L24" s="10"/>
      <c r="M24" s="10"/>
      <c r="N24" s="10"/>
      <c r="O24" s="10"/>
    </row>
    <row r="25" spans="1:15" ht="32.5" customHeight="1">
      <c r="A25" s="162"/>
      <c r="B25" s="50" t="s">
        <v>52</v>
      </c>
      <c r="C25" s="49">
        <f>(C22-C23)</f>
        <v>31200</v>
      </c>
      <c r="D25" s="49">
        <f t="shared" ref="D25:I25" si="17">(D22-D23)</f>
        <v>33200</v>
      </c>
      <c r="E25" s="49">
        <f t="shared" si="17"/>
        <v>35200</v>
      </c>
      <c r="F25" s="49">
        <f t="shared" si="17"/>
        <v>36200</v>
      </c>
      <c r="G25" s="49">
        <f t="shared" si="17"/>
        <v>37200</v>
      </c>
      <c r="H25" s="49">
        <f t="shared" si="17"/>
        <v>38200</v>
      </c>
      <c r="I25" s="49">
        <f t="shared" si="17"/>
        <v>39200</v>
      </c>
      <c r="J25" s="10"/>
      <c r="K25" s="10"/>
      <c r="L25" s="10"/>
      <c r="M25" s="10"/>
      <c r="N25" s="10"/>
      <c r="O25" s="10"/>
    </row>
    <row r="26" spans="1:15" ht="32.5" customHeight="1">
      <c r="A26" s="161" t="s">
        <v>68</v>
      </c>
      <c r="B26" s="46" t="s">
        <v>70</v>
      </c>
      <c r="C26" s="47">
        <f>C10*0.75</f>
        <v>45693.75</v>
      </c>
      <c r="D26" s="47">
        <f t="shared" ref="D26:I26" si="18">C26</f>
        <v>45693.75</v>
      </c>
      <c r="E26" s="47">
        <f t="shared" si="18"/>
        <v>45693.75</v>
      </c>
      <c r="F26" s="47">
        <f t="shared" si="18"/>
        <v>45693.75</v>
      </c>
      <c r="G26" s="47">
        <f t="shared" si="18"/>
        <v>45693.75</v>
      </c>
      <c r="H26" s="47">
        <f t="shared" si="18"/>
        <v>45693.75</v>
      </c>
      <c r="I26" s="47">
        <f t="shared" si="18"/>
        <v>45693.75</v>
      </c>
    </row>
    <row r="27" spans="1:15" ht="32.5" customHeight="1">
      <c r="A27" s="162"/>
      <c r="B27" s="46" t="s">
        <v>11</v>
      </c>
      <c r="C27" s="47">
        <f t="shared" ref="C27:I27" si="19">C23</f>
        <v>13500</v>
      </c>
      <c r="D27" s="47">
        <f t="shared" si="19"/>
        <v>11500</v>
      </c>
      <c r="E27" s="47">
        <f t="shared" si="19"/>
        <v>9500</v>
      </c>
      <c r="F27" s="47">
        <f t="shared" si="19"/>
        <v>8500</v>
      </c>
      <c r="G27" s="47">
        <f t="shared" si="19"/>
        <v>7500</v>
      </c>
      <c r="H27" s="47">
        <f t="shared" si="19"/>
        <v>6500</v>
      </c>
      <c r="I27" s="47">
        <f t="shared" si="19"/>
        <v>5500</v>
      </c>
    </row>
    <row r="28" spans="1:15" ht="32.5" customHeight="1">
      <c r="A28" s="162"/>
      <c r="B28" s="51" t="s">
        <v>51</v>
      </c>
      <c r="C28" s="52">
        <f>((C26-C27)*0.95)*2</f>
        <v>61168.125</v>
      </c>
      <c r="D28" s="52">
        <f t="shared" ref="D28:I28" si="20">((D26-D27)*0.95)*2</f>
        <v>64968.125</v>
      </c>
      <c r="E28" s="52">
        <f t="shared" si="20"/>
        <v>68768.125</v>
      </c>
      <c r="F28" s="52">
        <f t="shared" si="20"/>
        <v>70668.125</v>
      </c>
      <c r="G28" s="52">
        <f t="shared" si="20"/>
        <v>72568.125</v>
      </c>
      <c r="H28" s="52">
        <f t="shared" si="20"/>
        <v>74468.125</v>
      </c>
      <c r="I28" s="52">
        <f t="shared" si="20"/>
        <v>76368.125</v>
      </c>
    </row>
    <row r="29" spans="1:15" ht="32.5" customHeight="1">
      <c r="A29" s="162"/>
      <c r="B29" s="53" t="s">
        <v>52</v>
      </c>
      <c r="C29" s="52">
        <f>(C26-C27)</f>
        <v>32193.75</v>
      </c>
      <c r="D29" s="52">
        <f t="shared" ref="D29:I29" si="21">(D26-D27)</f>
        <v>34193.75</v>
      </c>
      <c r="E29" s="52">
        <f t="shared" si="21"/>
        <v>36193.75</v>
      </c>
      <c r="F29" s="52">
        <f t="shared" si="21"/>
        <v>37193.75</v>
      </c>
      <c r="G29" s="52">
        <f t="shared" si="21"/>
        <v>38193.75</v>
      </c>
      <c r="H29" s="52">
        <f t="shared" si="21"/>
        <v>39193.75</v>
      </c>
      <c r="I29" s="52">
        <f t="shared" si="21"/>
        <v>40193.75</v>
      </c>
    </row>
    <row r="30" spans="1:15" ht="32.5" customHeight="1">
      <c r="A30" s="161" t="s">
        <v>69</v>
      </c>
      <c r="B30" s="46" t="s">
        <v>70</v>
      </c>
      <c r="C30" s="47">
        <f>C26*1.05</f>
        <v>47978.4375</v>
      </c>
      <c r="D30" s="47">
        <f t="shared" ref="D30:I30" si="22">C30</f>
        <v>47978.4375</v>
      </c>
      <c r="E30" s="47">
        <f t="shared" si="22"/>
        <v>47978.4375</v>
      </c>
      <c r="F30" s="47">
        <f t="shared" si="22"/>
        <v>47978.4375</v>
      </c>
      <c r="G30" s="47">
        <f t="shared" si="22"/>
        <v>47978.4375</v>
      </c>
      <c r="H30" s="47">
        <f t="shared" si="22"/>
        <v>47978.4375</v>
      </c>
      <c r="I30" s="47">
        <f t="shared" si="22"/>
        <v>47978.4375</v>
      </c>
    </row>
    <row r="31" spans="1:15" ht="32.5" customHeight="1">
      <c r="A31" s="162"/>
      <c r="B31" s="46" t="s">
        <v>11</v>
      </c>
      <c r="C31" s="47">
        <f t="shared" ref="C31:I31" si="23">C27</f>
        <v>13500</v>
      </c>
      <c r="D31" s="47">
        <f t="shared" si="23"/>
        <v>11500</v>
      </c>
      <c r="E31" s="47">
        <f t="shared" si="23"/>
        <v>9500</v>
      </c>
      <c r="F31" s="47">
        <f t="shared" si="23"/>
        <v>8500</v>
      </c>
      <c r="G31" s="47">
        <f t="shared" si="23"/>
        <v>7500</v>
      </c>
      <c r="H31" s="47">
        <f t="shared" si="23"/>
        <v>6500</v>
      </c>
      <c r="I31" s="47">
        <f t="shared" si="23"/>
        <v>5500</v>
      </c>
    </row>
    <row r="32" spans="1:15" ht="32.5" customHeight="1">
      <c r="A32" s="162"/>
      <c r="B32" s="54" t="s">
        <v>51</v>
      </c>
      <c r="C32" s="55">
        <f>((C30-C31)*0.95)*2</f>
        <v>65509.03125</v>
      </c>
      <c r="D32" s="55">
        <f t="shared" ref="D32:I32" si="24">((D30-D31)*0.95)*2</f>
        <v>69309.03125</v>
      </c>
      <c r="E32" s="55">
        <f t="shared" si="24"/>
        <v>73109.03125</v>
      </c>
      <c r="F32" s="55">
        <f t="shared" si="24"/>
        <v>75009.03125</v>
      </c>
      <c r="G32" s="55">
        <f t="shared" si="24"/>
        <v>76909.03125</v>
      </c>
      <c r="H32" s="55">
        <f t="shared" si="24"/>
        <v>78809.03125</v>
      </c>
      <c r="I32" s="55">
        <f t="shared" si="24"/>
        <v>80709.03125</v>
      </c>
    </row>
    <row r="33" spans="1:9" ht="32.5" customHeight="1">
      <c r="A33" s="162"/>
      <c r="B33" s="56" t="s">
        <v>52</v>
      </c>
      <c r="C33" s="55">
        <f>(C30-C31)</f>
        <v>34478.4375</v>
      </c>
      <c r="D33" s="55">
        <f t="shared" ref="D33:I33" si="25">(D30-D31)</f>
        <v>36478.4375</v>
      </c>
      <c r="E33" s="55">
        <f t="shared" si="25"/>
        <v>38478.4375</v>
      </c>
      <c r="F33" s="55">
        <f t="shared" si="25"/>
        <v>39478.4375</v>
      </c>
      <c r="G33" s="55">
        <f t="shared" si="25"/>
        <v>40478.4375</v>
      </c>
      <c r="H33" s="55">
        <f t="shared" si="25"/>
        <v>41478.4375</v>
      </c>
      <c r="I33" s="55">
        <f t="shared" si="25"/>
        <v>42478.4375</v>
      </c>
    </row>
    <row r="34" spans="1:9" ht="32.5" customHeight="1">
      <c r="A34" s="163" t="s">
        <v>13</v>
      </c>
      <c r="B34" s="163"/>
      <c r="C34" s="55">
        <f t="shared" ref="C34:I34" si="26">SUM(C24,C28,C32)</f>
        <v>185957.15625</v>
      </c>
      <c r="D34" s="55">
        <f t="shared" si="26"/>
        <v>197357.15625</v>
      </c>
      <c r="E34" s="55">
        <f t="shared" si="26"/>
        <v>208757.15625</v>
      </c>
      <c r="F34" s="55">
        <f t="shared" si="26"/>
        <v>214457.15625</v>
      </c>
      <c r="G34" s="55">
        <f t="shared" si="26"/>
        <v>220157.15625</v>
      </c>
      <c r="H34" s="55">
        <f t="shared" si="26"/>
        <v>225857.15625</v>
      </c>
      <c r="I34" s="55">
        <f t="shared" si="26"/>
        <v>231557.15625</v>
      </c>
    </row>
    <row r="35" spans="1:9" ht="16" customHeight="1">
      <c r="A35" s="105" t="s">
        <v>16</v>
      </c>
      <c r="B35" s="105"/>
      <c r="C35" s="105"/>
      <c r="D35" s="105"/>
      <c r="E35" s="105"/>
      <c r="F35" s="105"/>
      <c r="G35" s="105"/>
      <c r="H35" s="105"/>
      <c r="I35" s="105"/>
    </row>
    <row r="36" spans="1:9" ht="4" customHeight="1">
      <c r="A36" s="105"/>
      <c r="B36" s="105"/>
      <c r="C36" s="105"/>
      <c r="D36" s="105"/>
      <c r="E36" s="105"/>
      <c r="F36" s="105"/>
      <c r="G36" s="105"/>
      <c r="H36" s="105"/>
      <c r="I36" s="105"/>
    </row>
    <row r="37" spans="1:9" ht="2.0499999999999998" customHeight="1">
      <c r="A37" s="105"/>
      <c r="B37" s="105"/>
      <c r="C37" s="105"/>
      <c r="D37" s="105"/>
      <c r="E37" s="105"/>
      <c r="F37" s="105"/>
      <c r="G37" s="105"/>
      <c r="H37" s="105"/>
      <c r="I37" s="105"/>
    </row>
    <row r="38" spans="1:9">
      <c r="A38" s="164" t="s">
        <v>17</v>
      </c>
      <c r="B38" s="165"/>
      <c r="C38" s="168" t="s">
        <v>18</v>
      </c>
      <c r="D38" s="168"/>
      <c r="E38" s="57">
        <v>5000</v>
      </c>
      <c r="F38" s="112"/>
      <c r="G38" s="113"/>
      <c r="H38" s="113"/>
      <c r="I38" s="113"/>
    </row>
    <row r="39" spans="1:9">
      <c r="A39" s="166"/>
      <c r="B39" s="167"/>
      <c r="C39" s="169" t="s">
        <v>19</v>
      </c>
      <c r="D39" s="169"/>
      <c r="E39" s="58">
        <v>3000</v>
      </c>
      <c r="F39" s="114"/>
      <c r="G39" s="115"/>
      <c r="H39" s="115"/>
      <c r="I39" s="115"/>
    </row>
    <row r="40" spans="1:9" ht="16.3" thickBot="1">
      <c r="A40" s="166"/>
      <c r="B40" s="167"/>
      <c r="C40" s="170" t="s">
        <v>20</v>
      </c>
      <c r="D40" s="170"/>
      <c r="E40" s="59">
        <v>3000</v>
      </c>
      <c r="F40" s="114"/>
      <c r="G40" s="115"/>
      <c r="H40" s="115"/>
      <c r="I40" s="115"/>
    </row>
    <row r="41" spans="1:9">
      <c r="A41" s="127" t="s">
        <v>82</v>
      </c>
      <c r="B41" s="127"/>
      <c r="C41" s="128" t="s">
        <v>30</v>
      </c>
      <c r="D41" s="128"/>
      <c r="E41" s="8">
        <v>18500</v>
      </c>
      <c r="F41" s="115"/>
      <c r="G41" s="115"/>
      <c r="H41" s="115"/>
      <c r="I41" s="129"/>
    </row>
    <row r="42" spans="1:9">
      <c r="A42" s="127"/>
      <c r="B42" s="127"/>
      <c r="C42" s="128" t="s">
        <v>31</v>
      </c>
      <c r="D42" s="128"/>
      <c r="E42" s="8">
        <v>9750</v>
      </c>
      <c r="F42" s="117"/>
      <c r="G42" s="117"/>
      <c r="H42" s="117"/>
      <c r="I42" s="130"/>
    </row>
    <row r="43" spans="1:9" ht="30.9">
      <c r="A43" s="60" t="s">
        <v>21</v>
      </c>
      <c r="B43" s="60" t="s">
        <v>22</v>
      </c>
      <c r="C43" s="61" t="s">
        <v>23</v>
      </c>
      <c r="D43" s="61" t="s">
        <v>24</v>
      </c>
      <c r="E43" s="61" t="s">
        <v>25</v>
      </c>
      <c r="F43" s="61" t="s">
        <v>26</v>
      </c>
      <c r="G43" s="60" t="s">
        <v>27</v>
      </c>
      <c r="H43" s="60" t="s">
        <v>28</v>
      </c>
      <c r="I43" s="60" t="s">
        <v>29</v>
      </c>
    </row>
    <row r="44" spans="1:9">
      <c r="A44" s="62" t="s">
        <v>30</v>
      </c>
      <c r="B44" s="58">
        <f>B45*2</f>
        <v>7000</v>
      </c>
      <c r="C44" s="58">
        <f t="shared" ref="C44:H44" si="27">C45*2</f>
        <v>5000</v>
      </c>
      <c r="D44" s="63">
        <v>1000</v>
      </c>
      <c r="E44" s="58">
        <f t="shared" si="27"/>
        <v>1500</v>
      </c>
      <c r="F44" s="58">
        <f t="shared" si="27"/>
        <v>1000</v>
      </c>
      <c r="G44" s="58">
        <f t="shared" si="27"/>
        <v>1000</v>
      </c>
      <c r="H44" s="58">
        <f t="shared" si="27"/>
        <v>2000</v>
      </c>
      <c r="I44" s="58">
        <f>SUM(B44:H44)</f>
        <v>18500</v>
      </c>
    </row>
    <row r="45" spans="1:9">
      <c r="A45" s="62" t="s">
        <v>31</v>
      </c>
      <c r="B45" s="64">
        <v>3500</v>
      </c>
      <c r="C45" s="64">
        <v>2500</v>
      </c>
      <c r="D45" s="65">
        <v>1000</v>
      </c>
      <c r="E45" s="65">
        <v>750</v>
      </c>
      <c r="F45" s="65">
        <v>500</v>
      </c>
      <c r="G45" s="64">
        <v>500</v>
      </c>
      <c r="H45" s="66">
        <v>1000</v>
      </c>
      <c r="I45" s="67">
        <f>SUM(B45:H45)</f>
        <v>9750</v>
      </c>
    </row>
    <row r="46" spans="1:9" ht="16" customHeight="1">
      <c r="A46" s="160" t="s">
        <v>54</v>
      </c>
      <c r="B46" s="160"/>
      <c r="C46" s="160"/>
      <c r="D46" s="160"/>
      <c r="E46" s="160"/>
      <c r="F46" s="160"/>
      <c r="G46" s="160"/>
      <c r="H46" s="160"/>
      <c r="I46" s="160"/>
    </row>
    <row r="47" spans="1:9" ht="30.55" customHeight="1">
      <c r="A47" s="160" t="s">
        <v>55</v>
      </c>
      <c r="B47" s="160"/>
      <c r="C47" s="160"/>
      <c r="D47" s="160"/>
      <c r="E47" s="160"/>
      <c r="F47" s="160"/>
      <c r="G47" s="160"/>
      <c r="H47" s="160"/>
      <c r="I47" s="160"/>
    </row>
    <row r="48" spans="1:9" ht="35.049999999999997" customHeight="1">
      <c r="A48" s="152" t="s">
        <v>71</v>
      </c>
      <c r="B48" s="152"/>
      <c r="C48" s="152"/>
      <c r="D48" s="152"/>
      <c r="E48" s="152"/>
      <c r="F48" s="152"/>
      <c r="G48" s="152"/>
      <c r="H48" s="152"/>
      <c r="I48" s="152"/>
    </row>
    <row r="49" spans="1:9" ht="24" customHeight="1">
      <c r="A49" s="160" t="s">
        <v>32</v>
      </c>
      <c r="B49" s="160"/>
      <c r="C49" s="160"/>
      <c r="D49" s="160"/>
      <c r="E49" s="160"/>
      <c r="F49" s="160"/>
      <c r="G49" s="160"/>
      <c r="H49" s="160"/>
      <c r="I49" s="160"/>
    </row>
    <row r="50" spans="1:9" ht="24" customHeight="1">
      <c r="A50" s="160" t="s">
        <v>86</v>
      </c>
      <c r="B50" s="160"/>
      <c r="C50" s="160"/>
      <c r="D50" s="160"/>
      <c r="E50" s="160"/>
      <c r="F50" s="160"/>
      <c r="G50" s="160"/>
      <c r="H50" s="160"/>
      <c r="I50" s="160"/>
    </row>
    <row r="51" spans="1:9">
      <c r="A51" s="104" t="s">
        <v>9</v>
      </c>
      <c r="B51" s="104"/>
      <c r="C51" s="104"/>
      <c r="D51" s="104"/>
      <c r="E51" s="104"/>
      <c r="F51" s="104"/>
      <c r="G51" s="104"/>
      <c r="H51" s="104"/>
      <c r="I51" s="104"/>
    </row>
  </sheetData>
  <mergeCells count="36">
    <mergeCell ref="A20:B20"/>
    <mergeCell ref="A21:I21"/>
    <mergeCell ref="A1:I1"/>
    <mergeCell ref="A2:I2"/>
    <mergeCell ref="A5:A9"/>
    <mergeCell ref="A10:A14"/>
    <mergeCell ref="A15:A19"/>
    <mergeCell ref="A46:I46"/>
    <mergeCell ref="A47:I47"/>
    <mergeCell ref="A48:I48"/>
    <mergeCell ref="A49:I49"/>
    <mergeCell ref="A41:B42"/>
    <mergeCell ref="P8:P9"/>
    <mergeCell ref="Q8:Q9"/>
    <mergeCell ref="J8:J9"/>
    <mergeCell ref="K8:K9"/>
    <mergeCell ref="L8:L9"/>
    <mergeCell ref="M8:M9"/>
    <mergeCell ref="N8:N9"/>
    <mergeCell ref="O8:O9"/>
    <mergeCell ref="A51:I51"/>
    <mergeCell ref="A4:I4"/>
    <mergeCell ref="C41:D41"/>
    <mergeCell ref="F41:I42"/>
    <mergeCell ref="C42:D42"/>
    <mergeCell ref="A50:I50"/>
    <mergeCell ref="A22:A25"/>
    <mergeCell ref="A26:A29"/>
    <mergeCell ref="A30:A33"/>
    <mergeCell ref="A34:B34"/>
    <mergeCell ref="A35:I37"/>
    <mergeCell ref="A38:B40"/>
    <mergeCell ref="C38:D38"/>
    <mergeCell ref="F38:I40"/>
    <mergeCell ref="C39:D39"/>
    <mergeCell ref="C40:D4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DE72-43A6-764C-A911-F0B55BAEB8B6}">
  <dimension ref="A1:T54"/>
  <sheetViews>
    <sheetView zoomScale="56" workbookViewId="0">
      <selection activeCell="A2" sqref="A2:J5"/>
    </sheetView>
  </sheetViews>
  <sheetFormatPr defaultColWidth="10.85546875" defaultRowHeight="15.9"/>
  <cols>
    <col min="3" max="3" width="59.5" bestFit="1" customWidth="1"/>
  </cols>
  <sheetData>
    <row r="1" spans="1:20">
      <c r="A1" s="210" t="s">
        <v>112</v>
      </c>
      <c r="B1" s="211"/>
      <c r="C1" s="211"/>
      <c r="D1" s="211"/>
      <c r="E1" s="211"/>
      <c r="F1" s="211"/>
      <c r="G1" s="211"/>
      <c r="H1" s="211"/>
      <c r="I1" s="211"/>
      <c r="J1" s="211"/>
      <c r="K1" s="77"/>
      <c r="L1" s="77"/>
      <c r="M1" s="77"/>
      <c r="N1" s="77"/>
      <c r="O1" s="77"/>
      <c r="P1" s="77"/>
      <c r="Q1" s="77"/>
      <c r="R1" s="77"/>
      <c r="S1" s="77"/>
      <c r="T1" s="77"/>
    </row>
    <row r="2" spans="1:20" ht="32.049999999999997" customHeight="1">
      <c r="A2" s="210" t="s">
        <v>113</v>
      </c>
      <c r="B2" s="211"/>
      <c r="C2" s="211"/>
      <c r="D2" s="211"/>
      <c r="E2" s="211"/>
      <c r="F2" s="211"/>
      <c r="G2" s="211"/>
      <c r="H2" s="211"/>
      <c r="I2" s="211"/>
      <c r="J2" s="211"/>
      <c r="K2" s="77"/>
      <c r="L2" s="77"/>
      <c r="M2" s="77"/>
      <c r="N2" s="77"/>
      <c r="O2" s="77"/>
      <c r="P2" s="77"/>
      <c r="Q2" s="77"/>
      <c r="R2" s="77"/>
      <c r="S2" s="77"/>
      <c r="T2" s="77"/>
    </row>
    <row r="3" spans="1:20">
      <c r="A3" s="212"/>
      <c r="B3" s="213"/>
      <c r="C3" s="213"/>
      <c r="D3" s="213"/>
      <c r="E3" s="213"/>
      <c r="F3" s="213"/>
      <c r="G3" s="213"/>
      <c r="H3" s="213"/>
      <c r="I3" s="213"/>
      <c r="J3" s="213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0">
      <c r="A4" s="212"/>
      <c r="B4" s="213"/>
      <c r="C4" s="213"/>
      <c r="D4" s="213"/>
      <c r="E4" s="213"/>
      <c r="F4" s="213"/>
      <c r="G4" s="213"/>
      <c r="H4" s="213"/>
      <c r="I4" s="213"/>
      <c r="J4" s="213"/>
      <c r="K4" s="77"/>
      <c r="L4" s="77"/>
      <c r="M4" s="77"/>
      <c r="N4" s="77"/>
      <c r="O4" s="77"/>
      <c r="P4" s="77"/>
      <c r="Q4" s="77"/>
      <c r="R4" s="77"/>
      <c r="S4" s="77"/>
      <c r="T4" s="77"/>
    </row>
    <row r="5" spans="1:20">
      <c r="A5" s="212"/>
      <c r="B5" s="213"/>
      <c r="C5" s="213"/>
      <c r="D5" s="213"/>
      <c r="E5" s="213"/>
      <c r="F5" s="213"/>
      <c r="G5" s="213"/>
      <c r="H5" s="213"/>
      <c r="I5" s="213"/>
      <c r="J5" s="213"/>
      <c r="K5" s="77"/>
      <c r="L5" s="77"/>
      <c r="M5" s="77"/>
      <c r="N5" s="77"/>
      <c r="O5" s="77"/>
      <c r="P5" s="77"/>
      <c r="Q5" s="77"/>
      <c r="R5" s="77"/>
      <c r="S5" s="77"/>
      <c r="T5" s="77"/>
    </row>
    <row r="6" spans="1:20" ht="72">
      <c r="A6" s="78" t="s">
        <v>1</v>
      </c>
      <c r="B6" s="79" t="s">
        <v>2</v>
      </c>
      <c r="C6" s="78" t="s">
        <v>37</v>
      </c>
      <c r="D6" s="78" t="s">
        <v>38</v>
      </c>
      <c r="E6" s="78" t="s">
        <v>39</v>
      </c>
      <c r="F6" s="78" t="s">
        <v>40</v>
      </c>
      <c r="G6" s="78" t="s">
        <v>41</v>
      </c>
      <c r="H6" s="78" t="s">
        <v>42</v>
      </c>
      <c r="I6" s="78" t="s">
        <v>78</v>
      </c>
      <c r="J6" s="77"/>
      <c r="K6" s="77"/>
      <c r="L6" s="77"/>
      <c r="M6" s="77"/>
      <c r="N6" s="77"/>
      <c r="O6" s="77"/>
      <c r="P6" s="77"/>
      <c r="Q6" s="77"/>
      <c r="R6" s="77"/>
      <c r="S6" s="77"/>
    </row>
    <row r="7" spans="1:20" ht="18" customHeight="1">
      <c r="A7" s="179" t="s">
        <v>0</v>
      </c>
      <c r="B7" s="180"/>
      <c r="C7" s="180"/>
      <c r="D7" s="180"/>
      <c r="E7" s="180"/>
      <c r="F7" s="180"/>
      <c r="G7" s="180"/>
      <c r="H7" s="180"/>
      <c r="I7" s="180"/>
      <c r="J7" s="180"/>
      <c r="K7" s="77"/>
      <c r="L7" s="77"/>
      <c r="M7" s="77"/>
      <c r="N7" s="77"/>
      <c r="O7" s="77"/>
      <c r="P7" s="77"/>
      <c r="Q7" s="77"/>
      <c r="R7" s="77"/>
      <c r="S7" s="77"/>
    </row>
    <row r="8" spans="1:20" ht="18">
      <c r="A8" s="206" t="s">
        <v>73</v>
      </c>
      <c r="B8" s="80" t="s">
        <v>10</v>
      </c>
      <c r="C8" s="81">
        <v>75100</v>
      </c>
      <c r="D8" s="81">
        <f>C8</f>
        <v>75100</v>
      </c>
      <c r="E8" s="81">
        <f t="shared" ref="E8:I8" si="0">D8</f>
        <v>75100</v>
      </c>
      <c r="F8" s="81">
        <f t="shared" si="0"/>
        <v>75100</v>
      </c>
      <c r="G8" s="81">
        <f t="shared" si="0"/>
        <v>75100</v>
      </c>
      <c r="H8" s="81">
        <f t="shared" si="0"/>
        <v>75100</v>
      </c>
      <c r="I8" s="81">
        <f t="shared" si="0"/>
        <v>75100</v>
      </c>
      <c r="J8" s="77"/>
      <c r="K8" s="77"/>
      <c r="L8" s="77"/>
      <c r="M8" s="77"/>
      <c r="N8" s="77"/>
      <c r="O8" s="77"/>
      <c r="P8" s="77"/>
      <c r="Q8" s="77"/>
      <c r="R8" s="77"/>
      <c r="S8" s="77"/>
    </row>
    <row r="9" spans="1:20" ht="18">
      <c r="A9" s="207"/>
      <c r="B9" s="80" t="s">
        <v>11</v>
      </c>
      <c r="C9" s="81">
        <v>14000</v>
      </c>
      <c r="D9" s="81">
        <v>12000</v>
      </c>
      <c r="E9" s="81">
        <v>10000</v>
      </c>
      <c r="F9" s="81">
        <v>9000</v>
      </c>
      <c r="G9" s="81">
        <v>8000</v>
      </c>
      <c r="H9" s="81">
        <v>7000</v>
      </c>
      <c r="I9" s="81">
        <v>6000</v>
      </c>
      <c r="J9" s="77"/>
      <c r="K9" s="77"/>
      <c r="L9" s="77"/>
      <c r="M9" s="77"/>
      <c r="N9" s="77"/>
      <c r="O9" s="77"/>
      <c r="P9" s="77"/>
      <c r="Q9" s="77"/>
      <c r="R9" s="77"/>
      <c r="S9" s="77"/>
    </row>
    <row r="10" spans="1:20" ht="20.6">
      <c r="A10" s="207"/>
      <c r="B10" s="82" t="s">
        <v>74</v>
      </c>
      <c r="C10" s="83">
        <v>14500</v>
      </c>
      <c r="D10" s="83">
        <f>C10</f>
        <v>14500</v>
      </c>
      <c r="E10" s="83">
        <f t="shared" ref="E10:H10" si="1">D10</f>
        <v>14500</v>
      </c>
      <c r="F10" s="83">
        <f t="shared" si="1"/>
        <v>14500</v>
      </c>
      <c r="G10" s="83">
        <f t="shared" si="1"/>
        <v>14500</v>
      </c>
      <c r="H10" s="83">
        <f t="shared" si="1"/>
        <v>14500</v>
      </c>
      <c r="I10" s="83">
        <v>11500</v>
      </c>
      <c r="J10" s="77"/>
      <c r="K10" s="77"/>
      <c r="L10" s="77"/>
      <c r="M10" s="77"/>
      <c r="N10" s="77"/>
      <c r="O10" s="77"/>
      <c r="P10" s="77"/>
      <c r="Q10" s="77"/>
      <c r="R10" s="77"/>
      <c r="S10" s="77"/>
    </row>
    <row r="11" spans="1:20" ht="18">
      <c r="A11" s="207"/>
      <c r="B11" s="84" t="s">
        <v>51</v>
      </c>
      <c r="C11" s="83">
        <f>C12*2*0.95</f>
        <v>88540</v>
      </c>
      <c r="D11" s="83">
        <f t="shared" ref="D11:I11" si="2">D12*2*0.95</f>
        <v>92340</v>
      </c>
      <c r="E11" s="83">
        <f t="shared" si="2"/>
        <v>96140</v>
      </c>
      <c r="F11" s="83">
        <f t="shared" si="2"/>
        <v>98040</v>
      </c>
      <c r="G11" s="83">
        <f t="shared" si="2"/>
        <v>99940</v>
      </c>
      <c r="H11" s="83">
        <f t="shared" si="2"/>
        <v>101840</v>
      </c>
      <c r="I11" s="83">
        <f t="shared" si="2"/>
        <v>109440</v>
      </c>
      <c r="J11" s="85"/>
      <c r="K11" s="85"/>
      <c r="L11" s="85"/>
      <c r="M11" s="85"/>
      <c r="N11" s="85"/>
      <c r="O11" s="85"/>
      <c r="P11" s="85"/>
      <c r="Q11" s="77"/>
      <c r="R11" s="77"/>
      <c r="S11" s="77"/>
    </row>
    <row r="12" spans="1:20" ht="18">
      <c r="A12" s="208"/>
      <c r="B12" s="84" t="s">
        <v>52</v>
      </c>
      <c r="C12" s="83">
        <f>C8-C9-C10</f>
        <v>46600</v>
      </c>
      <c r="D12" s="83">
        <f t="shared" ref="D12:I12" si="3">D8-D9-D10</f>
        <v>48600</v>
      </c>
      <c r="E12" s="83">
        <f t="shared" si="3"/>
        <v>50600</v>
      </c>
      <c r="F12" s="83">
        <f t="shared" si="3"/>
        <v>51600</v>
      </c>
      <c r="G12" s="83">
        <f t="shared" si="3"/>
        <v>52600</v>
      </c>
      <c r="H12" s="83">
        <f t="shared" si="3"/>
        <v>53600</v>
      </c>
      <c r="I12" s="83">
        <f t="shared" si="3"/>
        <v>57600</v>
      </c>
      <c r="J12" s="85"/>
      <c r="K12" s="85"/>
      <c r="L12" s="85"/>
      <c r="M12" s="85"/>
      <c r="N12" s="85"/>
      <c r="O12" s="85"/>
      <c r="P12" s="85"/>
      <c r="Q12" s="77"/>
      <c r="R12" s="77"/>
      <c r="S12" s="77"/>
    </row>
    <row r="13" spans="1:20" ht="18">
      <c r="A13" s="206" t="s">
        <v>75</v>
      </c>
      <c r="B13" s="80" t="s">
        <v>12</v>
      </c>
      <c r="C13" s="81">
        <v>77200</v>
      </c>
      <c r="D13" s="81">
        <f>C13</f>
        <v>77200</v>
      </c>
      <c r="E13" s="81">
        <f t="shared" ref="E13:I13" si="4">D13</f>
        <v>77200</v>
      </c>
      <c r="F13" s="81">
        <f t="shared" si="4"/>
        <v>77200</v>
      </c>
      <c r="G13" s="81">
        <f t="shared" si="4"/>
        <v>77200</v>
      </c>
      <c r="H13" s="81">
        <f t="shared" si="4"/>
        <v>77200</v>
      </c>
      <c r="I13" s="81">
        <f t="shared" si="4"/>
        <v>77200</v>
      </c>
      <c r="J13" s="77"/>
      <c r="K13" s="77"/>
      <c r="L13" s="77"/>
      <c r="M13" s="77"/>
      <c r="N13" s="77"/>
      <c r="O13" s="77"/>
      <c r="P13" s="77"/>
      <c r="Q13" s="77"/>
      <c r="R13" s="77"/>
      <c r="S13" s="77"/>
    </row>
    <row r="14" spans="1:20" ht="18">
      <c r="A14" s="207"/>
      <c r="B14" s="80" t="s">
        <v>11</v>
      </c>
      <c r="C14" s="81">
        <v>14000</v>
      </c>
      <c r="D14" s="81">
        <v>12000</v>
      </c>
      <c r="E14" s="81">
        <v>10000</v>
      </c>
      <c r="F14" s="81">
        <v>9000</v>
      </c>
      <c r="G14" s="81">
        <v>8000</v>
      </c>
      <c r="H14" s="81">
        <v>7000</v>
      </c>
      <c r="I14" s="81">
        <v>6000</v>
      </c>
      <c r="J14" s="77"/>
      <c r="K14" s="77"/>
      <c r="L14" s="77"/>
      <c r="M14" s="77"/>
      <c r="N14" s="77"/>
      <c r="O14" s="77"/>
      <c r="P14" s="77"/>
      <c r="Q14" s="77"/>
      <c r="R14" s="77"/>
      <c r="S14" s="77"/>
    </row>
    <row r="15" spans="1:20" ht="20.6">
      <c r="A15" s="207"/>
      <c r="B15" s="86" t="s">
        <v>74</v>
      </c>
      <c r="C15" s="87">
        <f>C10</f>
        <v>14500</v>
      </c>
      <c r="D15" s="87">
        <f t="shared" ref="D15:I15" si="5">D10</f>
        <v>14500</v>
      </c>
      <c r="E15" s="87">
        <f t="shared" si="5"/>
        <v>14500</v>
      </c>
      <c r="F15" s="87">
        <f t="shared" si="5"/>
        <v>14500</v>
      </c>
      <c r="G15" s="87">
        <f t="shared" si="5"/>
        <v>14500</v>
      </c>
      <c r="H15" s="87">
        <f t="shared" si="5"/>
        <v>14500</v>
      </c>
      <c r="I15" s="87">
        <f t="shared" si="5"/>
        <v>11500</v>
      </c>
      <c r="J15" s="77"/>
      <c r="K15" s="77"/>
      <c r="L15" s="77"/>
      <c r="M15" s="77"/>
      <c r="N15" s="77"/>
      <c r="O15" s="77"/>
      <c r="P15" s="77"/>
      <c r="Q15" s="77"/>
      <c r="R15" s="77"/>
      <c r="S15" s="77"/>
    </row>
    <row r="16" spans="1:20" ht="18">
      <c r="A16" s="207"/>
      <c r="B16" s="88" t="s">
        <v>51</v>
      </c>
      <c r="C16" s="83">
        <f>C17*2*0.95</f>
        <v>92530</v>
      </c>
      <c r="D16" s="83">
        <f t="shared" ref="D16" si="6">D17*2*0.95</f>
        <v>96330</v>
      </c>
      <c r="E16" s="83">
        <f t="shared" ref="E16" si="7">E17*2*0.95</f>
        <v>100130</v>
      </c>
      <c r="F16" s="83">
        <f t="shared" ref="F16" si="8">F17*2*0.95</f>
        <v>102030</v>
      </c>
      <c r="G16" s="83">
        <f t="shared" ref="G16" si="9">G17*2*0.95</f>
        <v>103930</v>
      </c>
      <c r="H16" s="83">
        <f t="shared" ref="H16" si="10">H17*2*0.95</f>
        <v>105830</v>
      </c>
      <c r="I16" s="83">
        <f t="shared" ref="I16" si="11">I17*2*0.95</f>
        <v>113430</v>
      </c>
      <c r="J16" s="77"/>
      <c r="K16" s="77"/>
      <c r="L16" s="77"/>
      <c r="M16" s="77"/>
      <c r="N16" s="77"/>
      <c r="O16" s="77"/>
      <c r="P16" s="77"/>
      <c r="Q16" s="77"/>
      <c r="R16" s="77"/>
      <c r="S16" s="77"/>
    </row>
    <row r="17" spans="1:20" ht="18">
      <c r="A17" s="208"/>
      <c r="B17" s="88" t="s">
        <v>52</v>
      </c>
      <c r="C17" s="83">
        <f>C13-C14-C15</f>
        <v>48700</v>
      </c>
      <c r="D17" s="83">
        <f t="shared" ref="D17:I17" si="12">D13-D14-D15</f>
        <v>50700</v>
      </c>
      <c r="E17" s="83">
        <f t="shared" si="12"/>
        <v>52700</v>
      </c>
      <c r="F17" s="83">
        <f t="shared" si="12"/>
        <v>53700</v>
      </c>
      <c r="G17" s="83">
        <f t="shared" si="12"/>
        <v>54700</v>
      </c>
      <c r="H17" s="83">
        <f t="shared" si="12"/>
        <v>55700</v>
      </c>
      <c r="I17" s="83">
        <f t="shared" si="12"/>
        <v>59700</v>
      </c>
      <c r="J17" s="77"/>
      <c r="K17" s="77"/>
      <c r="L17" s="77"/>
      <c r="M17" s="77"/>
      <c r="N17" s="77"/>
      <c r="O17" s="77"/>
      <c r="P17" s="77"/>
      <c r="Q17" s="77"/>
      <c r="R17" s="77"/>
      <c r="S17" s="77"/>
    </row>
    <row r="18" spans="1:20" ht="18">
      <c r="A18" s="206" t="s">
        <v>76</v>
      </c>
      <c r="B18" s="80" t="s">
        <v>12</v>
      </c>
      <c r="C18" s="81">
        <f>C13*1.05</f>
        <v>81060</v>
      </c>
      <c r="D18" s="81">
        <f t="shared" ref="D18:I18" si="13">D13*1.05</f>
        <v>81060</v>
      </c>
      <c r="E18" s="81">
        <f t="shared" si="13"/>
        <v>81060</v>
      </c>
      <c r="F18" s="81">
        <f t="shared" si="13"/>
        <v>81060</v>
      </c>
      <c r="G18" s="81">
        <f t="shared" si="13"/>
        <v>81060</v>
      </c>
      <c r="H18" s="81">
        <f t="shared" si="13"/>
        <v>81060</v>
      </c>
      <c r="I18" s="81">
        <f t="shared" si="13"/>
        <v>81060</v>
      </c>
      <c r="J18" s="77"/>
      <c r="K18" s="77"/>
      <c r="L18" s="77"/>
      <c r="M18" s="77"/>
      <c r="N18" s="77"/>
      <c r="O18" s="77"/>
      <c r="P18" s="77"/>
      <c r="Q18" s="77"/>
      <c r="R18" s="77"/>
      <c r="S18" s="77"/>
    </row>
    <row r="19" spans="1:20" ht="18">
      <c r="A19" s="207"/>
      <c r="B19" s="80" t="s">
        <v>11</v>
      </c>
      <c r="C19" s="81">
        <v>14000</v>
      </c>
      <c r="D19" s="81">
        <v>12000</v>
      </c>
      <c r="E19" s="81">
        <v>10000</v>
      </c>
      <c r="F19" s="81">
        <v>9000</v>
      </c>
      <c r="G19" s="81">
        <v>8000</v>
      </c>
      <c r="H19" s="81">
        <v>7000</v>
      </c>
      <c r="I19" s="81">
        <v>6000</v>
      </c>
      <c r="J19" s="77"/>
      <c r="K19" s="77"/>
      <c r="L19" s="77"/>
      <c r="M19" s="77"/>
      <c r="N19" s="77"/>
      <c r="O19" s="77"/>
      <c r="P19" s="77"/>
      <c r="Q19" s="77"/>
      <c r="R19" s="77"/>
      <c r="S19" s="77"/>
    </row>
    <row r="20" spans="1:20" ht="20.6">
      <c r="A20" s="207"/>
      <c r="B20" s="89" t="s">
        <v>74</v>
      </c>
      <c r="C20" s="87">
        <f>C15</f>
        <v>14500</v>
      </c>
      <c r="D20" s="87">
        <f t="shared" ref="D20:I20" si="14">D15</f>
        <v>14500</v>
      </c>
      <c r="E20" s="87">
        <f t="shared" si="14"/>
        <v>14500</v>
      </c>
      <c r="F20" s="87">
        <f t="shared" si="14"/>
        <v>14500</v>
      </c>
      <c r="G20" s="87">
        <f t="shared" si="14"/>
        <v>14500</v>
      </c>
      <c r="H20" s="87">
        <f t="shared" si="14"/>
        <v>14500</v>
      </c>
      <c r="I20" s="87">
        <f t="shared" si="14"/>
        <v>11500</v>
      </c>
      <c r="J20" s="77"/>
      <c r="K20" s="77"/>
      <c r="L20" s="77"/>
      <c r="M20" s="77"/>
      <c r="N20" s="77"/>
      <c r="O20" s="77"/>
      <c r="P20" s="77"/>
      <c r="Q20" s="77"/>
      <c r="R20" s="77"/>
      <c r="S20" s="77"/>
    </row>
    <row r="21" spans="1:20" ht="18">
      <c r="A21" s="207"/>
      <c r="B21" s="91" t="s">
        <v>51</v>
      </c>
      <c r="C21" s="83">
        <f>C22*2*0.95</f>
        <v>99864</v>
      </c>
      <c r="D21" s="83">
        <f t="shared" ref="D21" si="15">D22*2*0.95</f>
        <v>103664</v>
      </c>
      <c r="E21" s="83">
        <f t="shared" ref="E21" si="16">E22*2*0.95</f>
        <v>107464</v>
      </c>
      <c r="F21" s="83">
        <f t="shared" ref="F21" si="17">F22*2*0.95</f>
        <v>109364</v>
      </c>
      <c r="G21" s="83">
        <f t="shared" ref="G21" si="18">G22*2*0.95</f>
        <v>111264</v>
      </c>
      <c r="H21" s="83">
        <f t="shared" ref="H21" si="19">H22*2*0.95</f>
        <v>113164</v>
      </c>
      <c r="I21" s="83">
        <f t="shared" ref="I21" si="20">I22*2*0.95</f>
        <v>120764</v>
      </c>
      <c r="J21" s="77"/>
      <c r="K21" s="77"/>
      <c r="L21" s="209"/>
      <c r="M21" s="200"/>
      <c r="N21" s="200"/>
      <c r="O21" s="200"/>
      <c r="P21" s="200"/>
      <c r="Q21" s="200"/>
      <c r="R21" s="200"/>
      <c r="S21" s="200"/>
    </row>
    <row r="22" spans="1:20" ht="18">
      <c r="A22" s="208"/>
      <c r="B22" s="91" t="s">
        <v>52</v>
      </c>
      <c r="C22" s="83">
        <f>C18-C19-C20</f>
        <v>52560</v>
      </c>
      <c r="D22" s="83">
        <f t="shared" ref="D22:I22" si="21">D18-D19-D20</f>
        <v>54560</v>
      </c>
      <c r="E22" s="83">
        <f t="shared" si="21"/>
        <v>56560</v>
      </c>
      <c r="F22" s="83">
        <f t="shared" si="21"/>
        <v>57560</v>
      </c>
      <c r="G22" s="83">
        <f t="shared" si="21"/>
        <v>58560</v>
      </c>
      <c r="H22" s="83">
        <f t="shared" si="21"/>
        <v>59560</v>
      </c>
      <c r="I22" s="83">
        <f t="shared" si="21"/>
        <v>63560</v>
      </c>
      <c r="J22" s="77"/>
      <c r="K22" s="77"/>
      <c r="L22" s="209"/>
      <c r="M22" s="200"/>
      <c r="N22" s="200"/>
      <c r="O22" s="200"/>
      <c r="P22" s="200"/>
      <c r="Q22" s="200"/>
      <c r="R22" s="200"/>
      <c r="S22" s="200"/>
    </row>
    <row r="23" spans="1:20" ht="18">
      <c r="A23" s="201" t="s">
        <v>13</v>
      </c>
      <c r="B23" s="202"/>
      <c r="C23" s="90">
        <f>SUM(C11,C16,C21)</f>
        <v>280934</v>
      </c>
      <c r="D23" s="90">
        <f t="shared" ref="D23:I23" si="22">SUM(D11,D16,D21)</f>
        <v>292334</v>
      </c>
      <c r="E23" s="90">
        <f t="shared" si="22"/>
        <v>303734</v>
      </c>
      <c r="F23" s="90">
        <f t="shared" si="22"/>
        <v>309434</v>
      </c>
      <c r="G23" s="90">
        <f t="shared" si="22"/>
        <v>315134</v>
      </c>
      <c r="H23" s="90">
        <f t="shared" si="22"/>
        <v>320834</v>
      </c>
      <c r="I23" s="90">
        <f t="shared" si="22"/>
        <v>343634</v>
      </c>
      <c r="J23" s="77"/>
      <c r="K23" s="77"/>
      <c r="L23" s="77"/>
      <c r="M23" s="77"/>
      <c r="N23" s="77"/>
      <c r="O23" s="77"/>
      <c r="P23" s="77"/>
      <c r="Q23" s="77"/>
      <c r="R23" s="77"/>
      <c r="S23" s="77"/>
    </row>
    <row r="24" spans="1:20" ht="18.45">
      <c r="A24" s="203" t="s">
        <v>14</v>
      </c>
      <c r="B24" s="204"/>
      <c r="C24" s="204"/>
      <c r="D24" s="204"/>
      <c r="E24" s="204"/>
      <c r="F24" s="204"/>
      <c r="G24" s="204"/>
      <c r="H24" s="204"/>
      <c r="I24" s="204"/>
      <c r="J24" s="205"/>
      <c r="K24" s="77"/>
      <c r="L24" s="77"/>
      <c r="M24" s="77"/>
      <c r="N24" s="77"/>
      <c r="O24" s="77"/>
      <c r="P24" s="77"/>
      <c r="Q24" s="77"/>
      <c r="R24" s="77"/>
      <c r="S24" s="77"/>
      <c r="T24" s="77"/>
    </row>
    <row r="25" spans="1:20" ht="18">
      <c r="A25" s="206" t="s">
        <v>73</v>
      </c>
      <c r="B25" s="80" t="s">
        <v>70</v>
      </c>
      <c r="C25" s="81">
        <f t="shared" ref="C25:I25" si="23">C8*0.75</f>
        <v>56325</v>
      </c>
      <c r="D25" s="81">
        <f t="shared" si="23"/>
        <v>56325</v>
      </c>
      <c r="E25" s="81">
        <f t="shared" si="23"/>
        <v>56325</v>
      </c>
      <c r="F25" s="81">
        <f t="shared" si="23"/>
        <v>56325</v>
      </c>
      <c r="G25" s="81">
        <f t="shared" si="23"/>
        <v>56325</v>
      </c>
      <c r="H25" s="81">
        <f t="shared" si="23"/>
        <v>56325</v>
      </c>
      <c r="I25" s="81">
        <f t="shared" si="23"/>
        <v>56325</v>
      </c>
      <c r="J25" s="85"/>
      <c r="K25" s="85"/>
      <c r="L25" s="77"/>
      <c r="M25" s="77"/>
      <c r="N25" s="77"/>
      <c r="O25" s="77"/>
      <c r="P25" s="77"/>
      <c r="Q25" s="77"/>
      <c r="R25" s="77"/>
      <c r="S25" s="77"/>
    </row>
    <row r="26" spans="1:20" ht="18">
      <c r="A26" s="207"/>
      <c r="B26" s="80" t="s">
        <v>11</v>
      </c>
      <c r="C26" s="81">
        <v>14000</v>
      </c>
      <c r="D26" s="81">
        <v>12000</v>
      </c>
      <c r="E26" s="81">
        <v>10000</v>
      </c>
      <c r="F26" s="81">
        <v>9000</v>
      </c>
      <c r="G26" s="81">
        <v>8000</v>
      </c>
      <c r="H26" s="81">
        <v>7000</v>
      </c>
      <c r="I26" s="81">
        <v>6000</v>
      </c>
      <c r="J26" s="77"/>
      <c r="K26" s="77"/>
      <c r="L26" s="77"/>
      <c r="M26" s="77"/>
      <c r="N26" s="77"/>
      <c r="O26" s="77"/>
      <c r="P26" s="77"/>
      <c r="Q26" s="77"/>
      <c r="R26" s="77"/>
      <c r="S26" s="77"/>
    </row>
    <row r="27" spans="1:20" ht="18">
      <c r="A27" s="207"/>
      <c r="B27" s="82" t="s">
        <v>51</v>
      </c>
      <c r="C27" s="83">
        <f>C28*2*0.95</f>
        <v>80417.5</v>
      </c>
      <c r="D27" s="83">
        <f t="shared" ref="D27:I27" si="24">D28*2*0.95</f>
        <v>84217.5</v>
      </c>
      <c r="E27" s="83">
        <f t="shared" si="24"/>
        <v>88017.5</v>
      </c>
      <c r="F27" s="83">
        <f t="shared" si="24"/>
        <v>89917.5</v>
      </c>
      <c r="G27" s="83">
        <f t="shared" si="24"/>
        <v>91817.5</v>
      </c>
      <c r="H27" s="83">
        <f t="shared" si="24"/>
        <v>93717.5</v>
      </c>
      <c r="I27" s="83">
        <f t="shared" si="24"/>
        <v>95617.5</v>
      </c>
      <c r="J27" s="85"/>
      <c r="K27" s="77"/>
      <c r="L27" s="77"/>
      <c r="M27" s="77"/>
      <c r="N27" s="77"/>
      <c r="O27" s="77"/>
      <c r="P27" s="77"/>
      <c r="Q27" s="77"/>
      <c r="R27" s="77"/>
      <c r="S27" s="77"/>
    </row>
    <row r="28" spans="1:20" ht="18">
      <c r="A28" s="208"/>
      <c r="B28" s="84" t="s">
        <v>52</v>
      </c>
      <c r="C28" s="83">
        <f>C25-C26</f>
        <v>42325</v>
      </c>
      <c r="D28" s="83">
        <f t="shared" ref="D28:I28" si="25">D25-D26</f>
        <v>44325</v>
      </c>
      <c r="E28" s="83">
        <f t="shared" si="25"/>
        <v>46325</v>
      </c>
      <c r="F28" s="83">
        <f t="shared" si="25"/>
        <v>47325</v>
      </c>
      <c r="G28" s="83">
        <f t="shared" si="25"/>
        <v>48325</v>
      </c>
      <c r="H28" s="83">
        <f t="shared" si="25"/>
        <v>49325</v>
      </c>
      <c r="I28" s="83">
        <f t="shared" si="25"/>
        <v>50325</v>
      </c>
      <c r="J28" s="85"/>
      <c r="K28" s="77"/>
      <c r="L28" s="77"/>
      <c r="M28" s="77"/>
      <c r="N28" s="77"/>
      <c r="O28" s="77"/>
      <c r="P28" s="77"/>
      <c r="Q28" s="77"/>
      <c r="R28" s="77"/>
      <c r="S28" s="77"/>
    </row>
    <row r="29" spans="1:20" ht="18">
      <c r="A29" s="206" t="s">
        <v>75</v>
      </c>
      <c r="B29" s="80" t="s">
        <v>70</v>
      </c>
      <c r="C29" s="81">
        <f t="shared" ref="C29:I29" si="26">C13*0.75</f>
        <v>57900</v>
      </c>
      <c r="D29" s="81">
        <f t="shared" si="26"/>
        <v>57900</v>
      </c>
      <c r="E29" s="81">
        <f t="shared" si="26"/>
        <v>57900</v>
      </c>
      <c r="F29" s="81">
        <f t="shared" si="26"/>
        <v>57900</v>
      </c>
      <c r="G29" s="81">
        <f t="shared" si="26"/>
        <v>57900</v>
      </c>
      <c r="H29" s="81">
        <f t="shared" si="26"/>
        <v>57900</v>
      </c>
      <c r="I29" s="81">
        <f t="shared" si="26"/>
        <v>57900</v>
      </c>
      <c r="J29" s="77"/>
      <c r="K29" s="77"/>
      <c r="L29" s="77"/>
      <c r="M29" s="77"/>
      <c r="N29" s="77"/>
      <c r="O29" s="77"/>
      <c r="P29" s="77"/>
      <c r="Q29" s="77"/>
      <c r="R29" s="77"/>
      <c r="S29" s="77"/>
    </row>
    <row r="30" spans="1:20" ht="18">
      <c r="A30" s="207"/>
      <c r="B30" s="80" t="s">
        <v>11</v>
      </c>
      <c r="C30" s="81">
        <v>14000</v>
      </c>
      <c r="D30" s="81">
        <v>12000</v>
      </c>
      <c r="E30" s="81">
        <v>10000</v>
      </c>
      <c r="F30" s="81">
        <v>9000</v>
      </c>
      <c r="G30" s="81">
        <v>8000</v>
      </c>
      <c r="H30" s="81">
        <v>7000</v>
      </c>
      <c r="I30" s="81">
        <v>6000</v>
      </c>
      <c r="J30" s="77"/>
      <c r="K30" s="77"/>
      <c r="L30" s="77"/>
      <c r="M30" s="77"/>
      <c r="N30" s="77"/>
      <c r="O30" s="77"/>
      <c r="P30" s="77"/>
      <c r="Q30" s="77"/>
      <c r="R30" s="77"/>
      <c r="S30" s="77"/>
    </row>
    <row r="31" spans="1:20" ht="18">
      <c r="A31" s="207"/>
      <c r="B31" s="86" t="s">
        <v>51</v>
      </c>
      <c r="C31" s="83">
        <f>C32*2*0.95</f>
        <v>83410</v>
      </c>
      <c r="D31" s="83">
        <f t="shared" ref="D31" si="27">D32*2*0.95</f>
        <v>87210</v>
      </c>
      <c r="E31" s="83">
        <f t="shared" ref="E31" si="28">E32*2*0.95</f>
        <v>91010</v>
      </c>
      <c r="F31" s="83">
        <f t="shared" ref="F31" si="29">F32*2*0.95</f>
        <v>92910</v>
      </c>
      <c r="G31" s="83">
        <f t="shared" ref="G31" si="30">G32*2*0.95</f>
        <v>94810</v>
      </c>
      <c r="H31" s="83">
        <f t="shared" ref="H31" si="31">H32*2*0.95</f>
        <v>96710</v>
      </c>
      <c r="I31" s="83">
        <f t="shared" ref="I31" si="32">I32*2*0.95</f>
        <v>98610</v>
      </c>
      <c r="J31" s="77"/>
      <c r="K31" s="209"/>
      <c r="L31" s="77"/>
      <c r="M31" s="77"/>
      <c r="N31" s="77"/>
      <c r="O31" s="77"/>
      <c r="P31" s="77"/>
      <c r="Q31" s="77"/>
      <c r="R31" s="77"/>
      <c r="S31" s="77"/>
    </row>
    <row r="32" spans="1:20" ht="18">
      <c r="A32" s="208"/>
      <c r="B32" s="88" t="s">
        <v>52</v>
      </c>
      <c r="C32" s="83">
        <f>C29-C30</f>
        <v>43900</v>
      </c>
      <c r="D32" s="83">
        <f t="shared" ref="D32:I32" si="33">D29-D30</f>
        <v>45900</v>
      </c>
      <c r="E32" s="83">
        <f t="shared" si="33"/>
        <v>47900</v>
      </c>
      <c r="F32" s="83">
        <f t="shared" si="33"/>
        <v>48900</v>
      </c>
      <c r="G32" s="83">
        <f t="shared" si="33"/>
        <v>49900</v>
      </c>
      <c r="H32" s="83">
        <f t="shared" si="33"/>
        <v>50900</v>
      </c>
      <c r="I32" s="83">
        <f t="shared" si="33"/>
        <v>51900</v>
      </c>
      <c r="J32" s="77"/>
      <c r="K32" s="209"/>
      <c r="L32" s="77"/>
      <c r="M32" s="77"/>
      <c r="N32" s="77"/>
      <c r="O32" s="77"/>
      <c r="P32" s="77"/>
      <c r="Q32" s="77"/>
      <c r="R32" s="77"/>
      <c r="S32" s="77"/>
    </row>
    <row r="33" spans="1:20" ht="18">
      <c r="A33" s="206" t="s">
        <v>76</v>
      </c>
      <c r="B33" s="80" t="s">
        <v>70</v>
      </c>
      <c r="C33" s="81">
        <f>C29*1.05</f>
        <v>60795</v>
      </c>
      <c r="D33" s="81">
        <f t="shared" ref="D33:I33" si="34">D29*1.05</f>
        <v>60795</v>
      </c>
      <c r="E33" s="81">
        <f t="shared" si="34"/>
        <v>60795</v>
      </c>
      <c r="F33" s="81">
        <f t="shared" si="34"/>
        <v>60795</v>
      </c>
      <c r="G33" s="81">
        <f t="shared" si="34"/>
        <v>60795</v>
      </c>
      <c r="H33" s="81">
        <f t="shared" si="34"/>
        <v>60795</v>
      </c>
      <c r="I33" s="81">
        <f t="shared" si="34"/>
        <v>60795</v>
      </c>
      <c r="J33" s="77"/>
      <c r="K33" s="77"/>
      <c r="L33" s="77"/>
      <c r="M33" s="77"/>
      <c r="N33" s="77"/>
      <c r="O33" s="77"/>
      <c r="P33" s="77"/>
      <c r="Q33" s="77"/>
      <c r="R33" s="77"/>
      <c r="S33" s="77"/>
    </row>
    <row r="34" spans="1:20" ht="18">
      <c r="A34" s="207"/>
      <c r="B34" s="80" t="s">
        <v>11</v>
      </c>
      <c r="C34" s="81">
        <v>14000</v>
      </c>
      <c r="D34" s="81">
        <v>12000</v>
      </c>
      <c r="E34" s="81">
        <v>10000</v>
      </c>
      <c r="F34" s="81">
        <v>9000</v>
      </c>
      <c r="G34" s="81">
        <v>8000</v>
      </c>
      <c r="H34" s="81">
        <v>7000</v>
      </c>
      <c r="I34" s="81">
        <v>6000</v>
      </c>
      <c r="J34" s="77"/>
      <c r="K34" s="77"/>
      <c r="L34" s="77"/>
      <c r="M34" s="77"/>
      <c r="N34" s="77"/>
      <c r="O34" s="77"/>
      <c r="P34" s="77"/>
      <c r="Q34" s="77"/>
      <c r="R34" s="77"/>
      <c r="S34" s="77"/>
    </row>
    <row r="35" spans="1:20" ht="18">
      <c r="A35" s="207"/>
      <c r="B35" s="89" t="s">
        <v>51</v>
      </c>
      <c r="C35" s="83">
        <f>C36*2*0.95</f>
        <v>88910.5</v>
      </c>
      <c r="D35" s="83">
        <f t="shared" ref="D35" si="35">D36*2*0.95</f>
        <v>92710.5</v>
      </c>
      <c r="E35" s="83">
        <f t="shared" ref="E35" si="36">E36*2*0.95</f>
        <v>96510.5</v>
      </c>
      <c r="F35" s="83">
        <f t="shared" ref="F35" si="37">F36*2*0.95</f>
        <v>98410.5</v>
      </c>
      <c r="G35" s="83">
        <f t="shared" ref="G35" si="38">G36*2*0.95</f>
        <v>100310.5</v>
      </c>
      <c r="H35" s="83">
        <f t="shared" ref="H35" si="39">H36*2*0.95</f>
        <v>102210.5</v>
      </c>
      <c r="I35" s="83">
        <f t="shared" ref="I35" si="40">I36*2*0.95</f>
        <v>104110.5</v>
      </c>
      <c r="J35" s="77"/>
      <c r="K35" s="77"/>
      <c r="L35" s="77"/>
      <c r="M35" s="77"/>
      <c r="N35" s="77"/>
      <c r="O35" s="77"/>
      <c r="P35" s="77"/>
      <c r="Q35" s="77"/>
      <c r="R35" s="77"/>
      <c r="S35" s="77"/>
    </row>
    <row r="36" spans="1:20" ht="18">
      <c r="A36" s="208"/>
      <c r="B36" s="91" t="s">
        <v>52</v>
      </c>
      <c r="C36" s="83">
        <f>C33-C34</f>
        <v>46795</v>
      </c>
      <c r="D36" s="83">
        <f t="shared" ref="D36:I36" si="41">D33-D34</f>
        <v>48795</v>
      </c>
      <c r="E36" s="83">
        <f t="shared" si="41"/>
        <v>50795</v>
      </c>
      <c r="F36" s="83">
        <f t="shared" si="41"/>
        <v>51795</v>
      </c>
      <c r="G36" s="83">
        <f t="shared" si="41"/>
        <v>52795</v>
      </c>
      <c r="H36" s="83">
        <f t="shared" si="41"/>
        <v>53795</v>
      </c>
      <c r="I36" s="83">
        <f t="shared" si="41"/>
        <v>54795</v>
      </c>
      <c r="J36" s="77"/>
      <c r="K36" s="77"/>
      <c r="L36" s="77"/>
      <c r="M36" s="77"/>
      <c r="N36" s="77"/>
      <c r="O36" s="77"/>
      <c r="P36" s="77"/>
      <c r="Q36" s="77"/>
      <c r="R36" s="77"/>
      <c r="S36" s="77"/>
    </row>
    <row r="37" spans="1:20" ht="18">
      <c r="A37" s="201" t="s">
        <v>13</v>
      </c>
      <c r="B37" s="202"/>
      <c r="C37" s="90">
        <f>SUM(C27,C31,C35)</f>
        <v>252738</v>
      </c>
      <c r="D37" s="90">
        <f t="shared" ref="D37:I37" si="42">SUM(D27,D31,D35)</f>
        <v>264138</v>
      </c>
      <c r="E37" s="90">
        <f t="shared" si="42"/>
        <v>275538</v>
      </c>
      <c r="F37" s="90">
        <f t="shared" si="42"/>
        <v>281238</v>
      </c>
      <c r="G37" s="90">
        <f t="shared" si="42"/>
        <v>286938</v>
      </c>
      <c r="H37" s="90">
        <f t="shared" si="42"/>
        <v>292638</v>
      </c>
      <c r="I37" s="90">
        <f t="shared" si="42"/>
        <v>298338</v>
      </c>
      <c r="J37" s="77"/>
      <c r="K37" s="77"/>
      <c r="L37" s="77"/>
      <c r="M37" s="77"/>
      <c r="N37" s="77"/>
      <c r="O37" s="77"/>
      <c r="P37" s="77"/>
      <c r="Q37" s="77"/>
      <c r="R37" s="77"/>
      <c r="S37" s="77"/>
    </row>
    <row r="38" spans="1:20">
      <c r="A38" s="181" t="s">
        <v>16</v>
      </c>
      <c r="B38" s="182"/>
      <c r="C38" s="182"/>
      <c r="D38" s="182"/>
      <c r="E38" s="182"/>
      <c r="F38" s="182"/>
      <c r="G38" s="182"/>
      <c r="H38" s="182"/>
      <c r="I38" s="182"/>
      <c r="J38" s="182"/>
      <c r="K38" s="77"/>
      <c r="L38" s="77"/>
      <c r="M38" s="77"/>
      <c r="N38" s="77"/>
      <c r="O38" s="77"/>
      <c r="P38" s="77"/>
      <c r="Q38" s="77"/>
      <c r="R38" s="77"/>
      <c r="S38" s="77"/>
      <c r="T38" s="77"/>
    </row>
    <row r="39" spans="1:20">
      <c r="A39" s="183"/>
      <c r="B39" s="184"/>
      <c r="C39" s="184"/>
      <c r="D39" s="184"/>
      <c r="E39" s="184"/>
      <c r="F39" s="184"/>
      <c r="G39" s="184"/>
      <c r="H39" s="184"/>
      <c r="I39" s="184"/>
      <c r="J39" s="184"/>
      <c r="K39" s="77"/>
      <c r="L39" s="77"/>
      <c r="M39" s="77"/>
      <c r="N39" s="77"/>
      <c r="O39" s="77"/>
      <c r="P39" s="77"/>
      <c r="Q39" s="77"/>
      <c r="R39" s="77"/>
      <c r="S39" s="77"/>
      <c r="T39" s="77"/>
    </row>
    <row r="40" spans="1:20">
      <c r="A40" s="185"/>
      <c r="B40" s="186"/>
      <c r="C40" s="186"/>
      <c r="D40" s="186"/>
      <c r="E40" s="186"/>
      <c r="F40" s="186"/>
      <c r="G40" s="186"/>
      <c r="H40" s="186"/>
      <c r="I40" s="186"/>
      <c r="J40" s="186"/>
      <c r="K40" s="77"/>
      <c r="L40" s="77"/>
      <c r="M40" s="77"/>
      <c r="N40" s="77"/>
      <c r="O40" s="77"/>
      <c r="P40" s="77"/>
      <c r="Q40" s="77"/>
      <c r="R40" s="77"/>
      <c r="S40" s="77"/>
      <c r="T40" s="77"/>
    </row>
    <row r="41" spans="1:20" ht="16" customHeight="1">
      <c r="A41" s="187" t="s">
        <v>17</v>
      </c>
      <c r="B41" s="188"/>
      <c r="C41" s="193" t="s">
        <v>18</v>
      </c>
      <c r="D41" s="194"/>
      <c r="E41" s="92">
        <v>5000</v>
      </c>
      <c r="F41" s="173"/>
      <c r="G41" s="174"/>
      <c r="H41" s="174"/>
      <c r="I41" s="174"/>
      <c r="J41" s="174"/>
      <c r="K41" s="77"/>
      <c r="L41" s="77"/>
      <c r="M41" s="77"/>
      <c r="N41" s="77"/>
      <c r="O41" s="77"/>
      <c r="P41" s="77"/>
      <c r="Q41" s="77"/>
      <c r="R41" s="77"/>
      <c r="S41" s="77"/>
      <c r="T41" s="77"/>
    </row>
    <row r="42" spans="1:20" ht="16" customHeight="1">
      <c r="A42" s="189"/>
      <c r="B42" s="190"/>
      <c r="C42" s="193" t="s">
        <v>19</v>
      </c>
      <c r="D42" s="194"/>
      <c r="E42" s="92">
        <v>3000</v>
      </c>
      <c r="F42" s="175"/>
      <c r="G42" s="176"/>
      <c r="H42" s="176"/>
      <c r="I42" s="176"/>
      <c r="J42" s="176"/>
      <c r="K42" s="77"/>
      <c r="L42" s="77"/>
      <c r="M42" s="77"/>
      <c r="N42" s="77"/>
      <c r="O42" s="77"/>
      <c r="P42" s="77"/>
      <c r="Q42" s="77"/>
      <c r="R42" s="77"/>
      <c r="S42" s="77"/>
      <c r="T42" s="77"/>
    </row>
    <row r="43" spans="1:20">
      <c r="A43" s="191"/>
      <c r="B43" s="192"/>
      <c r="C43" s="195" t="s">
        <v>20</v>
      </c>
      <c r="D43" s="196"/>
      <c r="E43" s="93">
        <v>3000</v>
      </c>
      <c r="F43" s="175"/>
      <c r="G43" s="176"/>
      <c r="H43" s="176"/>
      <c r="I43" s="176"/>
      <c r="J43" s="176"/>
      <c r="K43" s="77"/>
      <c r="L43" s="77"/>
      <c r="M43" s="77"/>
      <c r="N43" s="77"/>
      <c r="O43" s="77"/>
      <c r="P43" s="77"/>
      <c r="Q43" s="77"/>
      <c r="R43" s="77"/>
      <c r="S43" s="77"/>
      <c r="T43" s="77"/>
    </row>
    <row r="44" spans="1:20">
      <c r="A44" s="127" t="s">
        <v>82</v>
      </c>
      <c r="B44" s="127"/>
      <c r="C44" s="128" t="s">
        <v>30</v>
      </c>
      <c r="D44" s="128"/>
      <c r="E44" s="8">
        <v>18500</v>
      </c>
      <c r="F44" s="175"/>
      <c r="G44" s="176"/>
      <c r="H44" s="176"/>
      <c r="I44" s="176"/>
      <c r="J44" s="176"/>
    </row>
    <row r="45" spans="1:20">
      <c r="A45" s="127"/>
      <c r="B45" s="127"/>
      <c r="C45" s="128" t="s">
        <v>31</v>
      </c>
      <c r="D45" s="128"/>
      <c r="E45" s="8">
        <v>9750</v>
      </c>
      <c r="F45" s="177"/>
      <c r="G45" s="178"/>
      <c r="H45" s="178"/>
      <c r="I45" s="178"/>
      <c r="J45" s="178"/>
    </row>
    <row r="46" spans="1:20" ht="61.75">
      <c r="A46" s="94" t="s">
        <v>21</v>
      </c>
      <c r="B46" s="95" t="s">
        <v>22</v>
      </c>
      <c r="C46" s="96" t="s">
        <v>23</v>
      </c>
      <c r="D46" s="96" t="s">
        <v>24</v>
      </c>
      <c r="E46" s="96" t="s">
        <v>25</v>
      </c>
      <c r="F46" s="96" t="s">
        <v>26</v>
      </c>
      <c r="G46" s="95" t="s">
        <v>27</v>
      </c>
      <c r="H46" s="95" t="s">
        <v>77</v>
      </c>
      <c r="I46" s="95" t="s">
        <v>28</v>
      </c>
      <c r="J46" s="95" t="s">
        <v>29</v>
      </c>
      <c r="K46" s="77"/>
      <c r="L46" s="77"/>
      <c r="M46" s="77"/>
      <c r="N46" s="77"/>
      <c r="O46" s="77"/>
      <c r="P46" s="77"/>
      <c r="Q46" s="77"/>
      <c r="R46" s="77"/>
      <c r="S46" s="77"/>
      <c r="T46" s="77"/>
    </row>
    <row r="47" spans="1:20">
      <c r="A47" s="97" t="s">
        <v>30</v>
      </c>
      <c r="B47" s="92">
        <v>7000</v>
      </c>
      <c r="C47" s="92">
        <v>5000</v>
      </c>
      <c r="D47" s="98">
        <v>1000</v>
      </c>
      <c r="E47" s="92">
        <v>1500</v>
      </c>
      <c r="F47" s="92">
        <v>1000</v>
      </c>
      <c r="G47" s="92">
        <v>1000</v>
      </c>
      <c r="H47" s="92">
        <v>3000</v>
      </c>
      <c r="I47" s="92">
        <v>2000</v>
      </c>
      <c r="J47" s="92">
        <v>21500</v>
      </c>
      <c r="K47" s="77"/>
      <c r="L47" s="77"/>
      <c r="M47" s="77"/>
      <c r="N47" s="77"/>
      <c r="O47" s="77"/>
      <c r="P47" s="77"/>
      <c r="Q47" s="77"/>
      <c r="R47" s="77"/>
      <c r="S47" s="77"/>
      <c r="T47" s="77"/>
    </row>
    <row r="48" spans="1:20">
      <c r="A48" s="97" t="s">
        <v>31</v>
      </c>
      <c r="B48" s="99">
        <v>3500</v>
      </c>
      <c r="C48" s="99">
        <v>2500</v>
      </c>
      <c r="D48" s="100">
        <v>1000</v>
      </c>
      <c r="E48" s="100">
        <v>750</v>
      </c>
      <c r="F48" s="100">
        <v>500</v>
      </c>
      <c r="G48" s="99">
        <v>500</v>
      </c>
      <c r="H48" s="99">
        <v>1500</v>
      </c>
      <c r="I48" s="101">
        <v>1000</v>
      </c>
      <c r="J48" s="102">
        <v>11250</v>
      </c>
      <c r="K48" s="77"/>
      <c r="L48" s="77"/>
      <c r="M48" s="77"/>
      <c r="N48" s="77"/>
      <c r="O48" s="77"/>
      <c r="P48" s="77"/>
      <c r="Q48" s="77"/>
      <c r="R48" s="77"/>
      <c r="S48" s="77"/>
      <c r="T48" s="77"/>
    </row>
    <row r="49" spans="1:20">
      <c r="A49" s="149" t="s">
        <v>54</v>
      </c>
      <c r="B49" s="150"/>
      <c r="C49" s="150"/>
      <c r="D49" s="150"/>
      <c r="E49" s="150"/>
      <c r="F49" s="150"/>
      <c r="G49" s="150"/>
      <c r="H49" s="150"/>
      <c r="I49" s="150"/>
      <c r="J49" s="151"/>
      <c r="K49" s="77"/>
      <c r="L49" s="77"/>
      <c r="M49" s="77"/>
      <c r="N49" s="77"/>
      <c r="O49" s="77"/>
      <c r="P49" s="77"/>
      <c r="Q49" s="77"/>
      <c r="R49" s="77"/>
      <c r="S49" s="77"/>
      <c r="T49" s="77"/>
    </row>
    <row r="50" spans="1:20">
      <c r="A50" s="149" t="s">
        <v>55</v>
      </c>
      <c r="B50" s="150"/>
      <c r="C50" s="150"/>
      <c r="D50" s="150"/>
      <c r="E50" s="150"/>
      <c r="F50" s="150"/>
      <c r="G50" s="150"/>
      <c r="H50" s="150"/>
      <c r="I50" s="150"/>
      <c r="J50" s="151"/>
      <c r="K50" s="77"/>
      <c r="L50" s="77"/>
      <c r="M50" s="77"/>
      <c r="N50" s="77"/>
      <c r="O50" s="77"/>
      <c r="P50" s="77"/>
      <c r="Q50" s="77"/>
      <c r="R50" s="77"/>
      <c r="S50" s="77"/>
      <c r="T50" s="77"/>
    </row>
    <row r="51" spans="1:20" ht="48" customHeight="1">
      <c r="A51" s="197" t="s">
        <v>71</v>
      </c>
      <c r="B51" s="198"/>
      <c r="C51" s="198"/>
      <c r="D51" s="198"/>
      <c r="E51" s="198"/>
      <c r="F51" s="198"/>
      <c r="G51" s="198"/>
      <c r="H51" s="198"/>
      <c r="I51" s="198"/>
      <c r="J51" s="199"/>
      <c r="K51" s="77"/>
      <c r="L51" s="77"/>
      <c r="M51" s="77"/>
      <c r="N51" s="77"/>
      <c r="O51" s="77"/>
      <c r="P51" s="77"/>
      <c r="Q51" s="77"/>
      <c r="R51" s="77"/>
      <c r="S51" s="77"/>
      <c r="T51" s="77"/>
    </row>
    <row r="52" spans="1:20">
      <c r="A52" s="149" t="s">
        <v>32</v>
      </c>
      <c r="B52" s="150"/>
      <c r="C52" s="150"/>
      <c r="D52" s="150"/>
      <c r="E52" s="150"/>
      <c r="F52" s="150"/>
      <c r="G52" s="150"/>
      <c r="H52" s="150"/>
      <c r="I52" s="150"/>
      <c r="J52" s="151"/>
      <c r="K52" s="77"/>
      <c r="L52" s="77"/>
      <c r="M52" s="77"/>
      <c r="N52" s="77"/>
      <c r="O52" s="77"/>
      <c r="P52" s="77"/>
      <c r="Q52" s="77"/>
      <c r="R52" s="77"/>
      <c r="S52" s="77"/>
      <c r="T52" s="77"/>
    </row>
    <row r="53" spans="1:20">
      <c r="A53" s="149" t="s">
        <v>88</v>
      </c>
      <c r="B53" s="150"/>
      <c r="C53" s="150"/>
      <c r="D53" s="150"/>
      <c r="E53" s="150"/>
      <c r="F53" s="150"/>
      <c r="G53" s="150"/>
      <c r="H53" s="150"/>
      <c r="I53" s="150"/>
      <c r="J53" s="151"/>
      <c r="K53" s="77"/>
      <c r="L53" s="77"/>
      <c r="M53" s="77"/>
      <c r="N53" s="77"/>
      <c r="O53" s="77"/>
      <c r="P53" s="77"/>
      <c r="Q53" s="77"/>
      <c r="R53" s="77"/>
      <c r="S53" s="77"/>
      <c r="T53" s="77"/>
    </row>
    <row r="54" spans="1:20">
      <c r="A54" s="149" t="s">
        <v>9</v>
      </c>
      <c r="B54" s="150"/>
      <c r="C54" s="150"/>
      <c r="D54" s="150"/>
      <c r="E54" s="150"/>
      <c r="F54" s="150"/>
      <c r="G54" s="150"/>
      <c r="H54" s="150"/>
      <c r="I54" s="150"/>
      <c r="J54" s="151"/>
    </row>
  </sheetData>
  <mergeCells count="36">
    <mergeCell ref="A1:J1"/>
    <mergeCell ref="A2:J5"/>
    <mergeCell ref="A8:A12"/>
    <mergeCell ref="A13:A17"/>
    <mergeCell ref="A18:A22"/>
    <mergeCell ref="A29:A32"/>
    <mergeCell ref="K31:K32"/>
    <mergeCell ref="A33:A36"/>
    <mergeCell ref="A37:B37"/>
    <mergeCell ref="L21:L22"/>
    <mergeCell ref="R21:R22"/>
    <mergeCell ref="S21:S22"/>
    <mergeCell ref="A23:B23"/>
    <mergeCell ref="A24:J24"/>
    <mergeCell ref="A25:A28"/>
    <mergeCell ref="M21:M22"/>
    <mergeCell ref="N21:N22"/>
    <mergeCell ref="O21:O22"/>
    <mergeCell ref="P21:P22"/>
    <mergeCell ref="Q21:Q22"/>
    <mergeCell ref="A54:J54"/>
    <mergeCell ref="F41:J45"/>
    <mergeCell ref="A7:J7"/>
    <mergeCell ref="A53:J53"/>
    <mergeCell ref="A38:J40"/>
    <mergeCell ref="A41:B43"/>
    <mergeCell ref="C41:D41"/>
    <mergeCell ref="C42:D42"/>
    <mergeCell ref="C43:D43"/>
    <mergeCell ref="A49:J49"/>
    <mergeCell ref="A50:J50"/>
    <mergeCell ref="A51:J51"/>
    <mergeCell ref="A52:J52"/>
    <mergeCell ref="A44:B45"/>
    <mergeCell ref="C44:D44"/>
    <mergeCell ref="C45:D4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D6D7-8ADE-F84F-B904-42EC676FDB2E}">
  <sheetPr>
    <pageSetUpPr fitToPage="1"/>
  </sheetPr>
  <dimension ref="A1:K39"/>
  <sheetViews>
    <sheetView workbookViewId="0">
      <selection activeCell="A2" sqref="A2:H3"/>
    </sheetView>
  </sheetViews>
  <sheetFormatPr defaultColWidth="8.85546875" defaultRowHeight="15.9"/>
  <cols>
    <col min="1" max="1" width="17.35546875" customWidth="1"/>
    <col min="2" max="2" width="23" bestFit="1" customWidth="1"/>
    <col min="3" max="3" width="34.640625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10" width="16.640625" customWidth="1"/>
  </cols>
  <sheetData>
    <row r="1" spans="1:11">
      <c r="A1" s="147" t="s">
        <v>114</v>
      </c>
      <c r="B1" s="148"/>
      <c r="C1" s="148"/>
      <c r="D1" s="148"/>
      <c r="E1" s="148"/>
      <c r="F1" s="148"/>
      <c r="G1" s="148"/>
      <c r="H1" s="223"/>
    </row>
    <row r="2" spans="1:11" ht="14.5" customHeight="1">
      <c r="A2" s="145" t="s">
        <v>115</v>
      </c>
      <c r="B2" s="146"/>
      <c r="C2" s="146"/>
      <c r="D2" s="146"/>
      <c r="E2" s="146"/>
      <c r="F2" s="146"/>
      <c r="G2" s="146"/>
      <c r="H2" s="233"/>
    </row>
    <row r="3" spans="1:11" ht="55.75" customHeight="1">
      <c r="A3" s="234"/>
      <c r="B3" s="235"/>
      <c r="C3" s="235"/>
      <c r="D3" s="235"/>
      <c r="E3" s="235"/>
      <c r="F3" s="235"/>
      <c r="G3" s="235"/>
      <c r="H3" s="236"/>
    </row>
    <row r="4" spans="1:11" ht="25.75">
      <c r="A4" s="15" t="s">
        <v>1</v>
      </c>
      <c r="B4" s="16" t="s">
        <v>2</v>
      </c>
      <c r="C4" s="15" t="s">
        <v>62</v>
      </c>
      <c r="D4" s="15" t="s">
        <v>63</v>
      </c>
      <c r="E4" s="15" t="s">
        <v>64</v>
      </c>
      <c r="F4" s="15" t="s">
        <v>65</v>
      </c>
      <c r="G4" s="220"/>
      <c r="H4" s="220"/>
    </row>
    <row r="5" spans="1:11">
      <c r="A5" s="106" t="s">
        <v>0</v>
      </c>
      <c r="B5" s="107"/>
      <c r="C5" s="107"/>
      <c r="D5" s="107"/>
      <c r="E5" s="107"/>
      <c r="F5" s="108"/>
      <c r="G5" s="221"/>
      <c r="H5" s="221"/>
    </row>
    <row r="6" spans="1:11">
      <c r="A6" s="132" t="s">
        <v>46</v>
      </c>
      <c r="B6" s="8" t="s">
        <v>10</v>
      </c>
      <c r="C6" s="1">
        <v>36100</v>
      </c>
      <c r="D6" s="1">
        <f>C6</f>
        <v>36100</v>
      </c>
      <c r="E6" s="1">
        <f t="shared" ref="E6:F6" si="0">D6</f>
        <v>36100</v>
      </c>
      <c r="F6" s="1">
        <f t="shared" si="0"/>
        <v>36100</v>
      </c>
      <c r="G6" s="221"/>
      <c r="H6" s="221"/>
      <c r="I6" s="10"/>
      <c r="J6" s="10"/>
    </row>
    <row r="7" spans="1:11">
      <c r="A7" s="133"/>
      <c r="B7" s="8" t="s">
        <v>11</v>
      </c>
      <c r="C7" s="68">
        <v>7000</v>
      </c>
      <c r="D7" s="68">
        <v>6000</v>
      </c>
      <c r="E7" s="68">
        <v>5000</v>
      </c>
      <c r="F7" s="69">
        <v>0</v>
      </c>
      <c r="G7" s="221"/>
      <c r="H7" s="221"/>
    </row>
    <row r="8" spans="1:11">
      <c r="A8" s="133"/>
      <c r="B8" s="34" t="s">
        <v>53</v>
      </c>
      <c r="C8" s="35">
        <v>3500</v>
      </c>
      <c r="D8" s="35">
        <f>C8</f>
        <v>3500</v>
      </c>
      <c r="E8" s="35">
        <f t="shared" ref="E8:F8" si="1">D8</f>
        <v>3500</v>
      </c>
      <c r="F8" s="35">
        <f t="shared" si="1"/>
        <v>3500</v>
      </c>
      <c r="G8" s="221"/>
      <c r="H8" s="221"/>
    </row>
    <row r="9" spans="1:11">
      <c r="A9" s="133"/>
      <c r="B9" s="25" t="s">
        <v>51</v>
      </c>
      <c r="C9" s="38">
        <f>C10*1.9</f>
        <v>48640</v>
      </c>
      <c r="D9" s="38">
        <f t="shared" ref="D9:F9" si="2">D10*1.9</f>
        <v>50540</v>
      </c>
      <c r="E9" s="38">
        <f t="shared" si="2"/>
        <v>52440</v>
      </c>
      <c r="F9" s="38">
        <f t="shared" si="2"/>
        <v>61940</v>
      </c>
      <c r="G9" s="221"/>
      <c r="H9" s="221"/>
    </row>
    <row r="10" spans="1:11">
      <c r="A10" s="133"/>
      <c r="B10" s="25" t="s">
        <v>52</v>
      </c>
      <c r="C10" s="38">
        <f>(C6-C7)-C8</f>
        <v>25600</v>
      </c>
      <c r="D10" s="38">
        <f t="shared" ref="D10:F10" si="3">(D6-D7)-D8</f>
        <v>26600</v>
      </c>
      <c r="E10" s="38">
        <f t="shared" si="3"/>
        <v>27600</v>
      </c>
      <c r="F10" s="38">
        <f t="shared" si="3"/>
        <v>32600</v>
      </c>
      <c r="G10" s="221"/>
      <c r="H10" s="221"/>
      <c r="I10" s="10"/>
      <c r="J10" s="10"/>
      <c r="K10" s="10"/>
    </row>
    <row r="11" spans="1:11">
      <c r="A11" s="128" t="s">
        <v>13</v>
      </c>
      <c r="B11" s="128"/>
      <c r="C11" s="36">
        <f t="shared" ref="C11:F11" si="4">SUM(C9)</f>
        <v>48640</v>
      </c>
      <c r="D11" s="36">
        <f t="shared" si="4"/>
        <v>50540</v>
      </c>
      <c r="E11" s="36">
        <f t="shared" si="4"/>
        <v>52440</v>
      </c>
      <c r="F11" s="36">
        <f t="shared" si="4"/>
        <v>61940</v>
      </c>
      <c r="G11" s="221"/>
      <c r="H11" s="221"/>
    </row>
    <row r="12" spans="1:11">
      <c r="A12" s="109" t="s">
        <v>14</v>
      </c>
      <c r="B12" s="110"/>
      <c r="C12" s="110"/>
      <c r="D12" s="110"/>
      <c r="E12" s="110"/>
      <c r="F12" s="110"/>
      <c r="G12" s="221"/>
      <c r="H12" s="221"/>
    </row>
    <row r="13" spans="1:11" ht="34.75">
      <c r="A13" s="132" t="s">
        <v>46</v>
      </c>
      <c r="B13" s="24" t="s">
        <v>15</v>
      </c>
      <c r="C13" s="1">
        <f>C6*0.75</f>
        <v>27075</v>
      </c>
      <c r="D13" s="1">
        <f t="shared" ref="D13:F13" si="5">C13</f>
        <v>27075</v>
      </c>
      <c r="E13" s="1">
        <f t="shared" si="5"/>
        <v>27075</v>
      </c>
      <c r="F13" s="1">
        <f t="shared" si="5"/>
        <v>27075</v>
      </c>
      <c r="G13" s="221"/>
      <c r="H13" s="221"/>
    </row>
    <row r="14" spans="1:11">
      <c r="A14" s="133"/>
      <c r="B14" s="8" t="s">
        <v>11</v>
      </c>
      <c r="C14" s="68">
        <v>7000</v>
      </c>
      <c r="D14" s="68">
        <v>6000</v>
      </c>
      <c r="E14" s="68">
        <v>5000</v>
      </c>
      <c r="F14" s="69">
        <v>0</v>
      </c>
      <c r="G14" s="221"/>
      <c r="H14" s="221"/>
    </row>
    <row r="15" spans="1:11">
      <c r="A15" s="133"/>
      <c r="B15" s="25" t="s">
        <v>51</v>
      </c>
      <c r="C15" s="38">
        <f>((C13-C14)*0.95)*2</f>
        <v>38142.5</v>
      </c>
      <c r="D15" s="38">
        <f t="shared" ref="D15:F15" si="6">((D13-D14)*0.95)*2</f>
        <v>40042.5</v>
      </c>
      <c r="E15" s="38">
        <f t="shared" si="6"/>
        <v>41942.5</v>
      </c>
      <c r="F15" s="38">
        <f t="shared" si="6"/>
        <v>51442.5</v>
      </c>
      <c r="G15" s="221"/>
      <c r="H15" s="221"/>
      <c r="I15" s="10"/>
      <c r="J15" s="10"/>
      <c r="K15" s="10"/>
    </row>
    <row r="16" spans="1:11">
      <c r="A16" s="133"/>
      <c r="B16" s="25" t="s">
        <v>52</v>
      </c>
      <c r="C16" s="38">
        <f>(C13-C14)</f>
        <v>20075</v>
      </c>
      <c r="D16" s="38">
        <f t="shared" ref="D16:F16" si="7">(D13-D14)</f>
        <v>21075</v>
      </c>
      <c r="E16" s="38">
        <f t="shared" si="7"/>
        <v>22075</v>
      </c>
      <c r="F16" s="38">
        <f t="shared" si="7"/>
        <v>27075</v>
      </c>
      <c r="G16" s="221"/>
      <c r="H16" s="221"/>
      <c r="I16" s="10"/>
      <c r="J16" s="10"/>
      <c r="K16" s="10"/>
    </row>
    <row r="17" spans="1:8" ht="19" customHeight="1">
      <c r="A17" s="128" t="s">
        <v>13</v>
      </c>
      <c r="B17" s="128"/>
      <c r="C17" s="36">
        <f t="shared" ref="C17:F17" si="8">SUM(C15)</f>
        <v>38142.5</v>
      </c>
      <c r="D17" s="36">
        <f t="shared" si="8"/>
        <v>40042.5</v>
      </c>
      <c r="E17" s="36">
        <f t="shared" si="8"/>
        <v>41942.5</v>
      </c>
      <c r="F17" s="36">
        <f t="shared" si="8"/>
        <v>51442.5</v>
      </c>
      <c r="G17" s="222"/>
      <c r="H17" s="222"/>
    </row>
    <row r="18" spans="1:8" ht="16" customHeight="1">
      <c r="A18" s="224" t="s">
        <v>16</v>
      </c>
      <c r="B18" s="225"/>
      <c r="C18" s="225"/>
      <c r="D18" s="225"/>
      <c r="E18" s="225"/>
      <c r="F18" s="225"/>
      <c r="G18" s="225"/>
      <c r="H18" s="226"/>
    </row>
    <row r="19" spans="1:8" ht="16" customHeight="1">
      <c r="A19" s="227"/>
      <c r="B19" s="228"/>
      <c r="C19" s="228"/>
      <c r="D19" s="228"/>
      <c r="E19" s="228"/>
      <c r="F19" s="228"/>
      <c r="G19" s="228"/>
      <c r="H19" s="229"/>
    </row>
    <row r="20" spans="1:8" ht="16" customHeight="1">
      <c r="A20" s="230"/>
      <c r="B20" s="231"/>
      <c r="C20" s="231"/>
      <c r="D20" s="231"/>
      <c r="E20" s="231"/>
      <c r="F20" s="231"/>
      <c r="G20" s="231"/>
      <c r="H20" s="232"/>
    </row>
    <row r="21" spans="1:8" ht="16" customHeight="1">
      <c r="A21" s="121" t="s">
        <v>17</v>
      </c>
      <c r="B21" s="122"/>
      <c r="C21" s="118" t="s">
        <v>18</v>
      </c>
      <c r="D21" s="118"/>
      <c r="E21" s="2">
        <v>5000</v>
      </c>
      <c r="F21" s="214"/>
      <c r="G21" s="215"/>
      <c r="H21" s="215"/>
    </row>
    <row r="22" spans="1:8" ht="17.05" customHeight="1">
      <c r="A22" s="123"/>
      <c r="B22" s="124"/>
      <c r="C22" s="119" t="s">
        <v>19</v>
      </c>
      <c r="D22" s="119"/>
      <c r="E22" s="5">
        <v>3000</v>
      </c>
      <c r="F22" s="216"/>
      <c r="G22" s="217"/>
      <c r="H22" s="217"/>
    </row>
    <row r="23" spans="1:8">
      <c r="A23" s="125"/>
      <c r="B23" s="126"/>
      <c r="C23" s="120" t="s">
        <v>20</v>
      </c>
      <c r="D23" s="120"/>
      <c r="E23" s="11">
        <v>2000</v>
      </c>
      <c r="F23" s="216"/>
      <c r="G23" s="217"/>
      <c r="H23" s="217"/>
    </row>
    <row r="24" spans="1:8">
      <c r="A24" s="127" t="s">
        <v>82</v>
      </c>
      <c r="B24" s="127"/>
      <c r="C24" s="128" t="s">
        <v>30</v>
      </c>
      <c r="D24" s="128"/>
      <c r="E24" s="8">
        <v>18500</v>
      </c>
      <c r="F24" s="216"/>
      <c r="G24" s="217"/>
      <c r="H24" s="217"/>
    </row>
    <row r="25" spans="1:8">
      <c r="A25" s="127"/>
      <c r="B25" s="127"/>
      <c r="C25" s="128" t="s">
        <v>31</v>
      </c>
      <c r="D25" s="128"/>
      <c r="E25" s="8">
        <v>9750</v>
      </c>
      <c r="F25" s="218"/>
      <c r="G25" s="219"/>
      <c r="H25" s="219"/>
    </row>
    <row r="26" spans="1:8" ht="23.15">
      <c r="A26" s="12" t="s">
        <v>21</v>
      </c>
      <c r="B26" s="12" t="s">
        <v>22</v>
      </c>
      <c r="C26" s="13" t="s">
        <v>23</v>
      </c>
      <c r="D26" s="13" t="s">
        <v>24</v>
      </c>
      <c r="E26" s="13" t="s">
        <v>25</v>
      </c>
      <c r="F26" s="13" t="s">
        <v>26</v>
      </c>
      <c r="G26" s="12" t="s">
        <v>27</v>
      </c>
      <c r="H26" s="12" t="s">
        <v>29</v>
      </c>
    </row>
    <row r="27" spans="1:8" ht="16" customHeight="1">
      <c r="A27" s="9" t="s">
        <v>30</v>
      </c>
      <c r="B27" s="5">
        <f>B28*2</f>
        <v>5000</v>
      </c>
      <c r="C27" s="5">
        <f t="shared" ref="C27:G27" si="9">C28*2</f>
        <v>5000</v>
      </c>
      <c r="D27" s="5">
        <v>1000</v>
      </c>
      <c r="E27" s="5">
        <f t="shared" si="9"/>
        <v>1500</v>
      </c>
      <c r="F27" s="5">
        <f t="shared" si="9"/>
        <v>1000</v>
      </c>
      <c r="G27" s="5">
        <f t="shared" si="9"/>
        <v>1000</v>
      </c>
      <c r="H27" s="5">
        <f>SUM(B27:G27)</f>
        <v>14500</v>
      </c>
    </row>
    <row r="28" spans="1:8" ht="33" customHeight="1">
      <c r="A28" s="9" t="s">
        <v>31</v>
      </c>
      <c r="B28" s="5">
        <v>2500</v>
      </c>
      <c r="C28" s="5">
        <v>2500</v>
      </c>
      <c r="D28" s="14">
        <v>1000</v>
      </c>
      <c r="E28" s="14">
        <v>750</v>
      </c>
      <c r="F28" s="14">
        <v>500</v>
      </c>
      <c r="G28" s="5">
        <v>500</v>
      </c>
      <c r="H28" s="5">
        <f>SUM(B28:G28)</f>
        <v>7750</v>
      </c>
    </row>
    <row r="29" spans="1:8" ht="15" customHeight="1">
      <c r="A29" s="104" t="s">
        <v>54</v>
      </c>
      <c r="B29" s="104"/>
      <c r="C29" s="104"/>
      <c r="D29" s="104"/>
      <c r="E29" s="104"/>
      <c r="F29" s="104"/>
      <c r="G29" s="104"/>
      <c r="H29" s="104"/>
    </row>
    <row r="30" spans="1:8" ht="28" customHeight="1">
      <c r="A30" s="104" t="s">
        <v>55</v>
      </c>
      <c r="B30" s="104"/>
      <c r="C30" s="104"/>
      <c r="D30" s="104"/>
      <c r="E30" s="104"/>
      <c r="F30" s="104"/>
      <c r="G30" s="104"/>
      <c r="H30" s="104"/>
    </row>
    <row r="31" spans="1:8" ht="42" customHeight="1">
      <c r="A31" s="152" t="s">
        <v>56</v>
      </c>
      <c r="B31" s="152"/>
      <c r="C31" s="152"/>
      <c r="D31" s="152"/>
      <c r="E31" s="152"/>
      <c r="F31" s="152"/>
      <c r="G31" s="152"/>
      <c r="H31" s="152"/>
    </row>
    <row r="32" spans="1:8" ht="43" customHeight="1">
      <c r="A32" s="104" t="s">
        <v>32</v>
      </c>
      <c r="B32" s="104"/>
      <c r="C32" s="104"/>
      <c r="D32" s="104"/>
      <c r="E32" s="104"/>
      <c r="F32" s="104"/>
      <c r="G32" s="104"/>
      <c r="H32" s="104"/>
    </row>
    <row r="33" spans="1:8">
      <c r="A33" s="104" t="s">
        <v>9</v>
      </c>
      <c r="B33" s="104"/>
      <c r="C33" s="104"/>
      <c r="D33" s="104"/>
      <c r="E33" s="104"/>
      <c r="F33" s="104"/>
      <c r="G33" s="104"/>
      <c r="H33" s="104"/>
    </row>
    <row r="35" spans="1:8" ht="28" customHeight="1"/>
    <row r="36" spans="1:8" ht="13.5" customHeight="1"/>
    <row r="38" spans="1:8" ht="28.75" customHeight="1"/>
    <row r="39" spans="1:8" ht="39" customHeight="1"/>
  </sheetData>
  <mergeCells count="23">
    <mergeCell ref="A1:H1"/>
    <mergeCell ref="A18:H20"/>
    <mergeCell ref="A2:H3"/>
    <mergeCell ref="C21:D21"/>
    <mergeCell ref="A6:A10"/>
    <mergeCell ref="A11:B11"/>
    <mergeCell ref="A13:A16"/>
    <mergeCell ref="A17:B17"/>
    <mergeCell ref="A21:B23"/>
    <mergeCell ref="A33:H33"/>
    <mergeCell ref="A5:F5"/>
    <mergeCell ref="F21:H25"/>
    <mergeCell ref="A12:F12"/>
    <mergeCell ref="G4:H17"/>
    <mergeCell ref="A32:H32"/>
    <mergeCell ref="A29:H29"/>
    <mergeCell ref="A30:H30"/>
    <mergeCell ref="A31:H31"/>
    <mergeCell ref="A24:B25"/>
    <mergeCell ref="C24:D24"/>
    <mergeCell ref="C25:D25"/>
    <mergeCell ref="C22:D22"/>
    <mergeCell ref="C23:D23"/>
  </mergeCells>
  <pageMargins left="0.7" right="0.7" top="0.75" bottom="0.75" header="0.3" footer="0.3"/>
  <pageSetup paperSize="9" scale="6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604A3-9F6B-C94B-A583-A1011E39B0D8}">
  <dimension ref="A1:N49"/>
  <sheetViews>
    <sheetView zoomScale="48" workbookViewId="0">
      <selection activeCell="E25" sqref="E25"/>
    </sheetView>
  </sheetViews>
  <sheetFormatPr defaultColWidth="8.85546875" defaultRowHeight="15.9"/>
  <cols>
    <col min="1" max="1" width="27.35546875" customWidth="1"/>
    <col min="2" max="2" width="23" bestFit="1" customWidth="1"/>
    <col min="3" max="3" width="57.640625" bestFit="1" customWidth="1"/>
    <col min="4" max="4" width="16.85546875" customWidth="1"/>
    <col min="5" max="5" width="15.140625" customWidth="1"/>
    <col min="6" max="6" width="14.85546875" customWidth="1"/>
    <col min="7" max="7" width="18.140625" customWidth="1"/>
    <col min="8" max="9" width="16.640625" customWidth="1"/>
  </cols>
  <sheetData>
    <row r="1" spans="1:12" ht="18">
      <c r="A1" s="237" t="s">
        <v>116</v>
      </c>
      <c r="B1" s="237"/>
      <c r="C1" s="237"/>
      <c r="D1" s="237"/>
      <c r="E1" s="237"/>
      <c r="F1" s="237"/>
      <c r="G1" s="237"/>
      <c r="H1" s="237"/>
    </row>
    <row r="2" spans="1:12" ht="14.5" customHeight="1">
      <c r="A2" s="237" t="s">
        <v>117</v>
      </c>
      <c r="B2" s="237"/>
      <c r="C2" s="237"/>
      <c r="D2" s="237"/>
      <c r="E2" s="237"/>
      <c r="F2" s="237"/>
      <c r="G2" s="237"/>
      <c r="H2" s="237"/>
    </row>
    <row r="3" spans="1:12" ht="92.05" customHeight="1">
      <c r="A3" s="237"/>
      <c r="B3" s="237"/>
      <c r="C3" s="237"/>
      <c r="D3" s="237"/>
      <c r="E3" s="237"/>
      <c r="F3" s="237"/>
      <c r="G3" s="237"/>
      <c r="H3" s="237"/>
    </row>
    <row r="4" spans="1:12" ht="85.3" customHeight="1">
      <c r="A4" s="238" t="s">
        <v>0</v>
      </c>
      <c r="B4" s="44" t="s">
        <v>1</v>
      </c>
      <c r="C4" s="45" t="s">
        <v>2</v>
      </c>
      <c r="D4" s="44" t="s">
        <v>57</v>
      </c>
      <c r="E4" s="44" t="s">
        <v>58</v>
      </c>
      <c r="F4" s="44" t="s">
        <v>59</v>
      </c>
      <c r="G4" s="44" t="s">
        <v>72</v>
      </c>
      <c r="H4" s="44" t="s">
        <v>60</v>
      </c>
    </row>
    <row r="5" spans="1:12" ht="85.3" customHeight="1">
      <c r="A5" s="239"/>
      <c r="B5" s="155" t="s">
        <v>0</v>
      </c>
      <c r="C5" s="156"/>
      <c r="D5" s="156"/>
      <c r="E5" s="156"/>
      <c r="F5" s="156"/>
      <c r="G5" s="156"/>
      <c r="H5" s="157"/>
    </row>
    <row r="6" spans="1:12" ht="25.3" customHeight="1">
      <c r="A6" s="239"/>
      <c r="B6" s="161" t="s">
        <v>66</v>
      </c>
      <c r="C6" s="46" t="s">
        <v>10</v>
      </c>
      <c r="D6" s="47">
        <v>82100</v>
      </c>
      <c r="E6" s="47">
        <f>D6</f>
        <v>82100</v>
      </c>
      <c r="F6" s="47">
        <f t="shared" ref="F6:H6" si="0">E6</f>
        <v>82100</v>
      </c>
      <c r="G6" s="47">
        <f t="shared" si="0"/>
        <v>82100</v>
      </c>
      <c r="H6" s="47">
        <f t="shared" si="0"/>
        <v>82100</v>
      </c>
      <c r="I6" s="10"/>
      <c r="J6" s="10"/>
      <c r="K6" s="10"/>
      <c r="L6" s="10"/>
    </row>
    <row r="7" spans="1:12" ht="25.3" customHeight="1">
      <c r="A7" s="239"/>
      <c r="B7" s="162"/>
      <c r="C7" s="46" t="s">
        <v>11</v>
      </c>
      <c r="D7" s="47">
        <v>10500</v>
      </c>
      <c r="E7" s="47">
        <v>8400</v>
      </c>
      <c r="F7" s="47">
        <v>6300</v>
      </c>
      <c r="G7" s="47">
        <v>3500</v>
      </c>
      <c r="H7" s="47">
        <v>2000</v>
      </c>
    </row>
    <row r="8" spans="1:12" ht="25.3" customHeight="1">
      <c r="A8" s="239"/>
      <c r="B8" s="162"/>
      <c r="C8" s="51" t="s">
        <v>67</v>
      </c>
      <c r="D8" s="52">
        <v>12500</v>
      </c>
      <c r="E8" s="52">
        <f>D8</f>
        <v>12500</v>
      </c>
      <c r="F8" s="52">
        <f t="shared" ref="F8:H8" si="1">E8</f>
        <v>12500</v>
      </c>
      <c r="G8" s="52">
        <v>8500</v>
      </c>
      <c r="H8" s="52">
        <f t="shared" si="1"/>
        <v>8500</v>
      </c>
    </row>
    <row r="9" spans="1:12" ht="25.3" customHeight="1">
      <c r="A9" s="239"/>
      <c r="B9" s="162"/>
      <c r="C9" s="53" t="s">
        <v>51</v>
      </c>
      <c r="D9" s="52">
        <f>(((D6-D7)*0.95)*2)-D8*2</f>
        <v>111040</v>
      </c>
      <c r="E9" s="52">
        <f t="shared" ref="E9:H9" si="2">(((E6-E7)*0.95)*2)-E8*2</f>
        <v>115030</v>
      </c>
      <c r="F9" s="52">
        <f t="shared" si="2"/>
        <v>119020</v>
      </c>
      <c r="G9" s="52">
        <f t="shared" si="2"/>
        <v>132340</v>
      </c>
      <c r="H9" s="52">
        <f t="shared" si="2"/>
        <v>135190</v>
      </c>
    </row>
    <row r="10" spans="1:12" ht="25.3" customHeight="1">
      <c r="A10" s="239"/>
      <c r="B10" s="162"/>
      <c r="C10" s="53" t="s">
        <v>52</v>
      </c>
      <c r="D10" s="52">
        <f>(D6-D7)-D8</f>
        <v>59100</v>
      </c>
      <c r="E10" s="52">
        <f t="shared" ref="E10:H10" si="3">(E6-E7)-E8</f>
        <v>61200</v>
      </c>
      <c r="F10" s="52">
        <f t="shared" si="3"/>
        <v>63300</v>
      </c>
      <c r="G10" s="52">
        <f t="shared" si="3"/>
        <v>70100</v>
      </c>
      <c r="H10" s="52">
        <f t="shared" si="3"/>
        <v>71600</v>
      </c>
    </row>
    <row r="11" spans="1:12" ht="25.3" customHeight="1">
      <c r="A11" s="239"/>
      <c r="B11" s="161" t="s">
        <v>68</v>
      </c>
      <c r="C11" s="46" t="s">
        <v>12</v>
      </c>
      <c r="D11" s="47">
        <v>84550</v>
      </c>
      <c r="E11" s="47">
        <f t="shared" ref="E11:H11" si="4">D11</f>
        <v>84550</v>
      </c>
      <c r="F11" s="47">
        <f t="shared" si="4"/>
        <v>84550</v>
      </c>
      <c r="G11" s="47">
        <f t="shared" si="4"/>
        <v>84550</v>
      </c>
      <c r="H11" s="47">
        <f t="shared" si="4"/>
        <v>84550</v>
      </c>
    </row>
    <row r="12" spans="1:12" ht="25.3" customHeight="1">
      <c r="A12" s="239"/>
      <c r="B12" s="162"/>
      <c r="C12" s="46" t="s">
        <v>11</v>
      </c>
      <c r="D12" s="47">
        <f>D7</f>
        <v>10500</v>
      </c>
      <c r="E12" s="47">
        <f>E7</f>
        <v>8400</v>
      </c>
      <c r="F12" s="47">
        <f>F7</f>
        <v>6300</v>
      </c>
      <c r="G12" s="47">
        <f>G7</f>
        <v>3500</v>
      </c>
      <c r="H12" s="47">
        <f>H7</f>
        <v>2000</v>
      </c>
    </row>
    <row r="13" spans="1:12" ht="25.3" customHeight="1">
      <c r="A13" s="239"/>
      <c r="B13" s="162"/>
      <c r="C13" s="54" t="s">
        <v>67</v>
      </c>
      <c r="D13" s="55">
        <f>D8</f>
        <v>12500</v>
      </c>
      <c r="E13" s="55">
        <f>D13</f>
        <v>12500</v>
      </c>
      <c r="F13" s="55">
        <f t="shared" ref="F13:H13" si="5">E13</f>
        <v>12500</v>
      </c>
      <c r="G13" s="55">
        <f>G8</f>
        <v>8500</v>
      </c>
      <c r="H13" s="55">
        <f t="shared" si="5"/>
        <v>8500</v>
      </c>
    </row>
    <row r="14" spans="1:12" ht="25.3" customHeight="1">
      <c r="A14" s="239"/>
      <c r="B14" s="162"/>
      <c r="C14" s="56" t="s">
        <v>51</v>
      </c>
      <c r="D14" s="55">
        <f>(((D11-D12)*0.95)*2)-D13*2</f>
        <v>115695</v>
      </c>
      <c r="E14" s="55">
        <f t="shared" ref="E14:H14" si="6">(((E11-E12)*0.95)*2)-E13*2</f>
        <v>119685</v>
      </c>
      <c r="F14" s="55">
        <f t="shared" si="6"/>
        <v>123675</v>
      </c>
      <c r="G14" s="55">
        <f t="shared" si="6"/>
        <v>136995</v>
      </c>
      <c r="H14" s="55">
        <f t="shared" si="6"/>
        <v>139845</v>
      </c>
    </row>
    <row r="15" spans="1:12" ht="25.3" customHeight="1">
      <c r="A15" s="239"/>
      <c r="B15" s="162"/>
      <c r="C15" s="56" t="s">
        <v>52</v>
      </c>
      <c r="D15" s="55">
        <f>(D11-D12)-D13</f>
        <v>61550</v>
      </c>
      <c r="E15" s="55">
        <f t="shared" ref="E15:H15" si="7">(E11-E12)-E13</f>
        <v>63650</v>
      </c>
      <c r="F15" s="55">
        <f t="shared" si="7"/>
        <v>65750</v>
      </c>
      <c r="G15" s="55">
        <f t="shared" si="7"/>
        <v>72550</v>
      </c>
      <c r="H15" s="55">
        <f t="shared" si="7"/>
        <v>74050</v>
      </c>
    </row>
    <row r="16" spans="1:12" ht="25.3" customHeight="1">
      <c r="A16" s="240"/>
      <c r="B16" s="163" t="s">
        <v>13</v>
      </c>
      <c r="C16" s="163"/>
      <c r="D16" s="55">
        <f>SUM(D9,D14)</f>
        <v>226735</v>
      </c>
      <c r="E16" s="55">
        <f>SUM(E9,E14)</f>
        <v>234715</v>
      </c>
      <c r="F16" s="55">
        <f>SUM(F9,F14)</f>
        <v>242695</v>
      </c>
      <c r="G16" s="55">
        <f>SUM(G9,G14)</f>
        <v>269335</v>
      </c>
      <c r="H16" s="55">
        <f>SUM(H9,H14)</f>
        <v>275035</v>
      </c>
    </row>
    <row r="17" spans="1:14" ht="25.3" customHeight="1">
      <c r="A17" s="172" t="s">
        <v>14</v>
      </c>
      <c r="B17" s="172"/>
      <c r="C17" s="172"/>
      <c r="D17" s="172"/>
      <c r="E17" s="172"/>
      <c r="F17" s="172"/>
      <c r="G17" s="172"/>
      <c r="H17" s="172"/>
    </row>
    <row r="18" spans="1:14" ht="25.3" customHeight="1">
      <c r="A18" s="238" t="s">
        <v>14</v>
      </c>
      <c r="B18" s="161" t="s">
        <v>66</v>
      </c>
      <c r="C18" s="46" t="s">
        <v>70</v>
      </c>
      <c r="D18" s="47">
        <f>D6*0.75</f>
        <v>61575</v>
      </c>
      <c r="E18" s="47">
        <f t="shared" ref="E18:H18" si="8">D18</f>
        <v>61575</v>
      </c>
      <c r="F18" s="47">
        <f t="shared" si="8"/>
        <v>61575</v>
      </c>
      <c r="G18" s="47">
        <f t="shared" si="8"/>
        <v>61575</v>
      </c>
      <c r="H18" s="47">
        <f t="shared" si="8"/>
        <v>61575</v>
      </c>
    </row>
    <row r="19" spans="1:14" ht="25.3" customHeight="1">
      <c r="A19" s="239"/>
      <c r="B19" s="162"/>
      <c r="C19" s="46" t="s">
        <v>11</v>
      </c>
      <c r="D19" s="47">
        <v>8000</v>
      </c>
      <c r="E19" s="47">
        <v>7000</v>
      </c>
      <c r="F19" s="47">
        <v>5500</v>
      </c>
      <c r="G19" s="47">
        <v>3500</v>
      </c>
      <c r="H19" s="47">
        <v>2000</v>
      </c>
    </row>
    <row r="20" spans="1:14" ht="25.3" customHeight="1">
      <c r="A20" s="239"/>
      <c r="B20" s="162"/>
      <c r="C20" s="51" t="s">
        <v>51</v>
      </c>
      <c r="D20" s="52">
        <f>((D18-D19)*0.95)*2</f>
        <v>101792.5</v>
      </c>
      <c r="E20" s="52">
        <f t="shared" ref="E20:H20" si="9">((E18-E19)*0.95)*2</f>
        <v>103692.5</v>
      </c>
      <c r="F20" s="52">
        <f t="shared" si="9"/>
        <v>106542.5</v>
      </c>
      <c r="G20" s="52">
        <f t="shared" si="9"/>
        <v>110342.5</v>
      </c>
      <c r="H20" s="52">
        <f t="shared" si="9"/>
        <v>113192.5</v>
      </c>
      <c r="I20" s="10"/>
      <c r="J20" s="10"/>
      <c r="K20" s="10"/>
      <c r="L20" s="10"/>
      <c r="M20" s="10"/>
      <c r="N20" s="10"/>
    </row>
    <row r="21" spans="1:14" ht="25.3" customHeight="1">
      <c r="A21" s="239"/>
      <c r="B21" s="162"/>
      <c r="C21" s="53" t="s">
        <v>52</v>
      </c>
      <c r="D21" s="52">
        <f>(D18-D19)</f>
        <v>53575</v>
      </c>
      <c r="E21" s="52">
        <f t="shared" ref="E21:H21" si="10">(E18-E19)</f>
        <v>54575</v>
      </c>
      <c r="F21" s="52">
        <f t="shared" si="10"/>
        <v>56075</v>
      </c>
      <c r="G21" s="52">
        <f t="shared" si="10"/>
        <v>58075</v>
      </c>
      <c r="H21" s="52">
        <f t="shared" si="10"/>
        <v>59575</v>
      </c>
      <c r="I21" s="10"/>
      <c r="J21" s="10"/>
      <c r="K21" s="10"/>
      <c r="L21" s="10"/>
      <c r="M21" s="10"/>
      <c r="N21" s="10"/>
    </row>
    <row r="22" spans="1:14" ht="25.3" customHeight="1">
      <c r="A22" s="239"/>
      <c r="B22" s="161" t="s">
        <v>68</v>
      </c>
      <c r="C22" s="46" t="s">
        <v>70</v>
      </c>
      <c r="D22" s="47">
        <f>D11*0.75</f>
        <v>63412.5</v>
      </c>
      <c r="E22" s="47">
        <f t="shared" ref="E22:H22" si="11">D22</f>
        <v>63412.5</v>
      </c>
      <c r="F22" s="47">
        <f t="shared" si="11"/>
        <v>63412.5</v>
      </c>
      <c r="G22" s="47">
        <f t="shared" si="11"/>
        <v>63412.5</v>
      </c>
      <c r="H22" s="47">
        <f t="shared" si="11"/>
        <v>63412.5</v>
      </c>
    </row>
    <row r="23" spans="1:14" ht="25.3" customHeight="1">
      <c r="A23" s="239"/>
      <c r="B23" s="162"/>
      <c r="C23" s="46" t="s">
        <v>11</v>
      </c>
      <c r="D23" s="47">
        <f>D19</f>
        <v>8000</v>
      </c>
      <c r="E23" s="47">
        <f>E19</f>
        <v>7000</v>
      </c>
      <c r="F23" s="47">
        <f>F19</f>
        <v>5500</v>
      </c>
      <c r="G23" s="47">
        <f>G19</f>
        <v>3500</v>
      </c>
      <c r="H23" s="47">
        <f>H19</f>
        <v>2000</v>
      </c>
    </row>
    <row r="24" spans="1:14" ht="25.3" customHeight="1">
      <c r="A24" s="239"/>
      <c r="B24" s="162"/>
      <c r="C24" s="54" t="s">
        <v>51</v>
      </c>
      <c r="D24" s="55">
        <f>((D22-D23)*0.95)*2</f>
        <v>105283.75</v>
      </c>
      <c r="E24" s="55">
        <f t="shared" ref="E24:H24" si="12">((E22-E23)*0.95)*2</f>
        <v>107183.75</v>
      </c>
      <c r="F24" s="55">
        <f t="shared" si="12"/>
        <v>110033.75</v>
      </c>
      <c r="G24" s="55">
        <f t="shared" si="12"/>
        <v>113833.75</v>
      </c>
      <c r="H24" s="55">
        <f t="shared" si="12"/>
        <v>116683.75</v>
      </c>
      <c r="I24" s="10"/>
      <c r="J24" s="10"/>
      <c r="K24" s="10"/>
      <c r="L24" s="10"/>
      <c r="M24" s="10"/>
    </row>
    <row r="25" spans="1:14" ht="25.3" customHeight="1">
      <c r="A25" s="239"/>
      <c r="B25" s="162"/>
      <c r="C25" s="56" t="s">
        <v>52</v>
      </c>
      <c r="D25" s="55">
        <f>(D22-D23)</f>
        <v>55412.5</v>
      </c>
      <c r="E25" s="55">
        <f t="shared" ref="E25:H25" si="13">(E22-E23)</f>
        <v>56412.5</v>
      </c>
      <c r="F25" s="55">
        <f t="shared" si="13"/>
        <v>57912.5</v>
      </c>
      <c r="G25" s="55">
        <f t="shared" si="13"/>
        <v>59912.5</v>
      </c>
      <c r="H25" s="55">
        <f t="shared" si="13"/>
        <v>61412.5</v>
      </c>
    </row>
    <row r="26" spans="1:14" ht="25.3" customHeight="1">
      <c r="A26" s="240"/>
      <c r="B26" s="163" t="s">
        <v>13</v>
      </c>
      <c r="C26" s="163"/>
      <c r="D26" s="55">
        <f>SUM(D20,D24)</f>
        <v>207076.25</v>
      </c>
      <c r="E26" s="55">
        <f>SUM(E20,E24)</f>
        <v>210876.25</v>
      </c>
      <c r="F26" s="55">
        <f>SUM(F20,F24)</f>
        <v>216576.25</v>
      </c>
      <c r="G26" s="55">
        <f>SUM(G20,G24)</f>
        <v>224176.25</v>
      </c>
      <c r="H26" s="55">
        <f>SUM(H20,H24)</f>
        <v>229876.25</v>
      </c>
    </row>
    <row r="27" spans="1:14" ht="16" customHeight="1">
      <c r="A27" s="105" t="s">
        <v>16</v>
      </c>
      <c r="B27" s="105"/>
      <c r="C27" s="105"/>
      <c r="D27" s="105"/>
      <c r="E27" s="105"/>
      <c r="F27" s="105"/>
      <c r="G27" s="105"/>
      <c r="H27" s="105"/>
    </row>
    <row r="28" spans="1:14" ht="16" customHeight="1">
      <c r="A28" s="105"/>
      <c r="B28" s="105"/>
      <c r="C28" s="105"/>
      <c r="D28" s="105"/>
      <c r="E28" s="105"/>
      <c r="F28" s="105"/>
      <c r="G28" s="105"/>
      <c r="H28" s="105"/>
    </row>
    <row r="29" spans="1:14" ht="16" customHeight="1">
      <c r="A29" s="105"/>
      <c r="B29" s="105"/>
      <c r="C29" s="105"/>
      <c r="D29" s="105"/>
      <c r="E29" s="105"/>
      <c r="F29" s="105"/>
      <c r="G29" s="105"/>
      <c r="H29" s="105"/>
    </row>
    <row r="30" spans="1:14" ht="26.05" customHeight="1">
      <c r="A30" s="241" t="s">
        <v>17</v>
      </c>
      <c r="B30" s="242"/>
      <c r="C30" s="247" t="s">
        <v>18</v>
      </c>
      <c r="D30" s="247"/>
      <c r="E30" s="72">
        <v>5000</v>
      </c>
      <c r="F30" s="248"/>
      <c r="G30" s="249"/>
      <c r="H30" s="249"/>
    </row>
    <row r="31" spans="1:14" ht="29.05" customHeight="1">
      <c r="A31" s="243"/>
      <c r="B31" s="244"/>
      <c r="C31" s="254" t="s">
        <v>19</v>
      </c>
      <c r="D31" s="254"/>
      <c r="E31" s="70">
        <v>3000</v>
      </c>
      <c r="F31" s="250"/>
      <c r="G31" s="251"/>
      <c r="H31" s="251"/>
    </row>
    <row r="32" spans="1:14" ht="27" customHeight="1">
      <c r="A32" s="245"/>
      <c r="B32" s="246"/>
      <c r="C32" s="255" t="s">
        <v>20</v>
      </c>
      <c r="D32" s="255"/>
      <c r="E32" s="73">
        <v>3000</v>
      </c>
      <c r="F32" s="252"/>
      <c r="G32" s="253"/>
      <c r="H32" s="253"/>
    </row>
    <row r="33" spans="1:8">
      <c r="A33" s="127" t="s">
        <v>82</v>
      </c>
      <c r="B33" s="127"/>
      <c r="C33" s="128" t="s">
        <v>30</v>
      </c>
      <c r="D33" s="128"/>
      <c r="E33" s="8">
        <v>18500</v>
      </c>
      <c r="F33" s="115"/>
      <c r="G33" s="115"/>
      <c r="H33" s="115"/>
    </row>
    <row r="34" spans="1:8">
      <c r="A34" s="127"/>
      <c r="B34" s="127"/>
      <c r="C34" s="128" t="s">
        <v>31</v>
      </c>
      <c r="D34" s="128"/>
      <c r="E34" s="8">
        <v>9750</v>
      </c>
      <c r="F34" s="117"/>
      <c r="G34" s="117"/>
      <c r="H34" s="117"/>
    </row>
    <row r="35" spans="1:8" ht="46" customHeight="1">
      <c r="A35" s="74" t="s">
        <v>21</v>
      </c>
      <c r="B35" s="74" t="s">
        <v>22</v>
      </c>
      <c r="C35" s="75" t="s">
        <v>23</v>
      </c>
      <c r="D35" s="75" t="s">
        <v>24</v>
      </c>
      <c r="E35" s="75" t="s">
        <v>25</v>
      </c>
      <c r="F35" s="75" t="s">
        <v>26</v>
      </c>
      <c r="G35" s="74" t="s">
        <v>27</v>
      </c>
      <c r="H35" s="74" t="s">
        <v>29</v>
      </c>
    </row>
    <row r="36" spans="1:8" ht="29.05" customHeight="1">
      <c r="A36" s="71" t="s">
        <v>30</v>
      </c>
      <c r="B36" s="70">
        <f>B37*2</f>
        <v>9000</v>
      </c>
      <c r="C36" s="70">
        <f t="shared" ref="C36:G36" si="14">C37*2</f>
        <v>5000</v>
      </c>
      <c r="D36" s="76">
        <f>D37</f>
        <v>1000</v>
      </c>
      <c r="E36" s="70">
        <f t="shared" si="14"/>
        <v>1500</v>
      </c>
      <c r="F36" s="70">
        <f t="shared" si="14"/>
        <v>1000</v>
      </c>
      <c r="G36" s="70">
        <f t="shared" si="14"/>
        <v>1000</v>
      </c>
      <c r="H36" s="70">
        <f>SUM(B36:G36)</f>
        <v>18500</v>
      </c>
    </row>
    <row r="37" spans="1:8" ht="33" customHeight="1">
      <c r="A37" s="71" t="s">
        <v>31</v>
      </c>
      <c r="B37" s="70">
        <v>4500</v>
      </c>
      <c r="C37" s="70">
        <v>2500</v>
      </c>
      <c r="D37" s="76">
        <v>1000</v>
      </c>
      <c r="E37" s="76">
        <v>750</v>
      </c>
      <c r="F37" s="76">
        <v>500</v>
      </c>
      <c r="G37" s="70">
        <v>500</v>
      </c>
      <c r="H37" s="70">
        <f>SUM(B37:G37)</f>
        <v>9750</v>
      </c>
    </row>
    <row r="38" spans="1:8" ht="25" customHeight="1">
      <c r="A38" s="256" t="s">
        <v>54</v>
      </c>
      <c r="B38" s="256"/>
      <c r="C38" s="256"/>
      <c r="D38" s="256"/>
      <c r="E38" s="256"/>
      <c r="F38" s="256"/>
      <c r="G38" s="256"/>
      <c r="H38" s="256"/>
    </row>
    <row r="39" spans="1:8" ht="25" customHeight="1">
      <c r="A39" s="256" t="s">
        <v>55</v>
      </c>
      <c r="B39" s="256"/>
      <c r="C39" s="256"/>
      <c r="D39" s="256"/>
      <c r="E39" s="256"/>
      <c r="F39" s="256"/>
      <c r="G39" s="256"/>
      <c r="H39" s="256"/>
    </row>
    <row r="40" spans="1:8" ht="58" customHeight="1">
      <c r="A40" s="257" t="s">
        <v>71</v>
      </c>
      <c r="B40" s="257"/>
      <c r="C40" s="257"/>
      <c r="D40" s="257"/>
      <c r="E40" s="257"/>
      <c r="F40" s="257"/>
      <c r="G40" s="257"/>
      <c r="H40" s="257"/>
    </row>
    <row r="41" spans="1:8" ht="25" customHeight="1">
      <c r="A41" s="256" t="s">
        <v>32</v>
      </c>
      <c r="B41" s="256"/>
      <c r="C41" s="256"/>
      <c r="D41" s="256"/>
      <c r="E41" s="256"/>
      <c r="F41" s="256"/>
      <c r="G41" s="256"/>
      <c r="H41" s="256"/>
    </row>
    <row r="42" spans="1:8" ht="25" customHeight="1">
      <c r="A42" s="256" t="s">
        <v>89</v>
      </c>
      <c r="B42" s="256"/>
      <c r="C42" s="256"/>
      <c r="D42" s="256"/>
      <c r="E42" s="256"/>
      <c r="F42" s="256"/>
      <c r="G42" s="256"/>
      <c r="H42" s="256"/>
    </row>
    <row r="43" spans="1:8">
      <c r="A43" s="104" t="s">
        <v>9</v>
      </c>
      <c r="B43" s="104"/>
      <c r="C43" s="104"/>
      <c r="D43" s="104"/>
      <c r="E43" s="104"/>
      <c r="F43" s="104"/>
      <c r="G43" s="104"/>
      <c r="H43" s="104"/>
    </row>
    <row r="45" spans="1:8" ht="28" customHeight="1"/>
    <row r="46" spans="1:8" ht="13.5" customHeight="1"/>
    <row r="48" spans="1:8" ht="28.75" customHeight="1"/>
    <row r="49" ht="39" customHeight="1"/>
  </sheetData>
  <mergeCells count="28">
    <mergeCell ref="A42:H42"/>
    <mergeCell ref="C32:D32"/>
    <mergeCell ref="A39:H39"/>
    <mergeCell ref="A40:H40"/>
    <mergeCell ref="A38:H38"/>
    <mergeCell ref="A41:H41"/>
    <mergeCell ref="A1:H1"/>
    <mergeCell ref="A2:H3"/>
    <mergeCell ref="A4:A16"/>
    <mergeCell ref="B6:B10"/>
    <mergeCell ref="B11:B15"/>
    <mergeCell ref="B16:C16"/>
    <mergeCell ref="A43:H43"/>
    <mergeCell ref="B5:H5"/>
    <mergeCell ref="A17:H17"/>
    <mergeCell ref="A33:B34"/>
    <mergeCell ref="C33:D33"/>
    <mergeCell ref="F33:H34"/>
    <mergeCell ref="C34:D34"/>
    <mergeCell ref="A18:A26"/>
    <mergeCell ref="B18:B21"/>
    <mergeCell ref="B22:B25"/>
    <mergeCell ref="B26:C26"/>
    <mergeCell ref="A27:H29"/>
    <mergeCell ref="A30:B32"/>
    <mergeCell ref="C30:D30"/>
    <mergeCell ref="F30:H32"/>
    <mergeCell ref="C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mba</vt:lpstr>
      <vt:lpstr>btech-cse</vt:lpstr>
      <vt:lpstr>bcom</vt:lpstr>
      <vt:lpstr>bcom-hons</vt:lpstr>
      <vt:lpstr>bca-ai-ds</vt:lpstr>
      <vt:lpstr>bsc-it</vt:lpstr>
      <vt:lpstr>bca</vt:lpstr>
      <vt:lpstr>mca</vt:lpstr>
      <vt:lpstr>bhm</vt:lpstr>
      <vt:lpstr>bba</vt:lpstr>
      <vt:lpstr>bjmc</vt:lpstr>
      <vt:lpstr>bsc-animation-gaming</vt:lpstr>
      <vt:lpstr>chm</vt:lpstr>
      <vt:lpstr>mtech-cse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Ashish Garg</dc:creator>
  <cp:lastModifiedBy>Sauhard Dobhal</cp:lastModifiedBy>
  <cp:lastPrinted>2023-03-13T19:18:04Z</cp:lastPrinted>
  <dcterms:created xsi:type="dcterms:W3CDTF">2022-01-04T08:24:24Z</dcterms:created>
  <dcterms:modified xsi:type="dcterms:W3CDTF">2025-05-03T04:26:41Z</dcterms:modified>
</cp:coreProperties>
</file>